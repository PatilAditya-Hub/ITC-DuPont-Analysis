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eDrive\Desktop\MBA Files\Upskill Personal\"/>
    </mc:Choice>
  </mc:AlternateContent>
  <xr:revisionPtr revIDLastSave="0" documentId="13_ncr:1_{05987CF0-3286-4BC4-96C8-B9E163EAEA32}" xr6:coauthVersionLast="47" xr6:coauthVersionMax="47" xr10:uidLastSave="{00000000-0000-0000-0000-000000000000}"/>
  <bookViews>
    <workbookView xWindow="-120" yWindow="-120" windowWidth="20730" windowHeight="11160" activeTab="2" xr2:uid="{3B27221F-4684-461B-B5CD-BB3AD23F210E}"/>
  </bookViews>
  <sheets>
    <sheet name="ITC Balance Sheet" sheetId="1" r:id="rId1"/>
    <sheet name="ITC Cash flow" sheetId="2" r:id="rId2"/>
    <sheet name="ITC Income Statement" sheetId="6" r:id="rId3"/>
    <sheet name="Duopont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9" i="8" l="1"/>
  <c r="C68" i="8"/>
  <c r="C74" i="8" s="1"/>
  <c r="D68" i="8"/>
  <c r="D74" i="8" s="1"/>
  <c r="E68" i="8"/>
  <c r="E74" i="8" s="1"/>
  <c r="F68" i="8"/>
  <c r="F74" i="8" s="1"/>
  <c r="G68" i="8"/>
  <c r="G74" i="8" s="1"/>
  <c r="B68" i="8"/>
  <c r="B74" i="8" s="1"/>
  <c r="B57" i="8"/>
  <c r="B60" i="8" s="1"/>
  <c r="C57" i="8"/>
  <c r="C60" i="8" s="1"/>
  <c r="D57" i="8"/>
  <c r="D60" i="8" s="1"/>
  <c r="E57" i="8"/>
  <c r="E69" i="8" s="1"/>
  <c r="E79" i="8" s="1"/>
  <c r="F57" i="8"/>
  <c r="F60" i="8" s="1"/>
  <c r="G57" i="8"/>
  <c r="G60" i="8" s="1"/>
  <c r="B53" i="8"/>
  <c r="B56" i="8" s="1"/>
  <c r="B75" i="8" s="1"/>
  <c r="C53" i="8"/>
  <c r="C54" i="8" s="1"/>
  <c r="D53" i="8"/>
  <c r="D54" i="8" s="1"/>
  <c r="E53" i="8"/>
  <c r="E54" i="8" s="1"/>
  <c r="F53" i="8"/>
  <c r="F56" i="8" s="1"/>
  <c r="F75" i="8" s="1"/>
  <c r="F78" i="8" s="1"/>
  <c r="G53" i="8"/>
  <c r="G56" i="8" s="1"/>
  <c r="G75" i="8" s="1"/>
  <c r="B47" i="8"/>
  <c r="B61" i="8" s="1"/>
  <c r="C47" i="8"/>
  <c r="C61" i="8" s="1"/>
  <c r="D47" i="8"/>
  <c r="D61" i="8" s="1"/>
  <c r="E47" i="8"/>
  <c r="E61" i="8" s="1"/>
  <c r="F47" i="8"/>
  <c r="F61" i="8" s="1"/>
  <c r="G47" i="8"/>
  <c r="G61" i="8" s="1"/>
  <c r="B46" i="8"/>
  <c r="C46" i="8"/>
  <c r="D46" i="8"/>
  <c r="E46" i="8"/>
  <c r="F46" i="8"/>
  <c r="G46" i="8"/>
  <c r="G76" i="8" l="1"/>
  <c r="D69" i="8"/>
  <c r="D79" i="8" s="1"/>
  <c r="F48" i="8"/>
  <c r="B48" i="8"/>
  <c r="F58" i="8"/>
  <c r="G69" i="8"/>
  <c r="G79" i="8" s="1"/>
  <c r="C69" i="8"/>
  <c r="C79" i="8" s="1"/>
  <c r="F69" i="8"/>
  <c r="F79" i="8" s="1"/>
  <c r="F80" i="8" s="1"/>
  <c r="B69" i="8"/>
  <c r="B79" i="8" s="1"/>
  <c r="F76" i="8"/>
  <c r="B76" i="8"/>
  <c r="B78" i="8"/>
  <c r="G78" i="8"/>
  <c r="E48" i="8"/>
  <c r="D62" i="8"/>
  <c r="D48" i="8"/>
  <c r="E56" i="8"/>
  <c r="G48" i="8"/>
  <c r="C48" i="8"/>
  <c r="E70" i="8"/>
  <c r="B58" i="8"/>
  <c r="B54" i="8"/>
  <c r="C56" i="8"/>
  <c r="C62" i="8"/>
  <c r="G54" i="8"/>
  <c r="F54" i="8"/>
  <c r="B62" i="8"/>
  <c r="G62" i="8"/>
  <c r="D56" i="8"/>
  <c r="G58" i="8"/>
  <c r="E60" i="8"/>
  <c r="E62" i="8" s="1"/>
  <c r="F62" i="8"/>
  <c r="B80" i="8" l="1"/>
  <c r="D70" i="8"/>
  <c r="F70" i="8"/>
  <c r="E58" i="8"/>
  <c r="E64" i="8" s="1"/>
  <c r="E75" i="8"/>
  <c r="B82" i="8"/>
  <c r="C58" i="8"/>
  <c r="C64" i="8" s="1"/>
  <c r="C75" i="8"/>
  <c r="G80" i="8"/>
  <c r="G82" i="8" s="1"/>
  <c r="F82" i="8"/>
  <c r="G70" i="8"/>
  <c r="D58" i="8"/>
  <c r="D64" i="8" s="1"/>
  <c r="D75" i="8"/>
  <c r="B70" i="8"/>
  <c r="C70" i="8"/>
  <c r="B64" i="8"/>
  <c r="F64" i="8"/>
  <c r="G64" i="8"/>
  <c r="D78" i="8" l="1"/>
  <c r="D80" i="8" s="1"/>
  <c r="D76" i="8"/>
  <c r="D82" i="8" s="1"/>
  <c r="E78" i="8"/>
  <c r="E80" i="8" s="1"/>
  <c r="E76" i="8"/>
  <c r="C78" i="8"/>
  <c r="C80" i="8" s="1"/>
  <c r="C76" i="8"/>
  <c r="C82" i="8" s="1"/>
  <c r="E82" i="8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<sst xmlns="http://schemas.openxmlformats.org/spreadsheetml/2006/main" count="120" uniqueCount="108">
  <si>
    <t>Equity Capital</t>
  </si>
  <si>
    <t>Reserves</t>
  </si>
  <si>
    <t>Total Liabilities</t>
  </si>
  <si>
    <t>CWIP</t>
  </si>
  <si>
    <t>Investments</t>
  </si>
  <si>
    <t>Total Assets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</si>
  <si>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</si>
  <si>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</si>
  <si>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</si>
  <si>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</si>
  <si>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</si>
  <si>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</si>
  <si>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</si>
  <si>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t>Trade Payables</t>
  </si>
  <si>
    <t>Advance from Customers</t>
  </si>
  <si>
    <t>Other liability items</t>
  </si>
  <si>
    <r>
      <t>Fixed Assets </t>
    </r>
    <r>
      <rPr>
        <sz val="11"/>
        <color rgb="FF665EFD"/>
        <rFont val="Arial"/>
        <family val="2"/>
      </rPr>
      <t>-</t>
    </r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</si>
  <si>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</si>
  <si>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</si>
  <si>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</si>
  <si>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</si>
  <si>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</si>
  <si>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</si>
  <si>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</si>
  <si>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</si>
  <si>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</si>
  <si>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</si>
  <si>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</si>
  <si>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r>
      <t>Other Assets </t>
    </r>
    <r>
      <rPr>
        <sz val="11"/>
        <color rgb="FF665EFD"/>
        <rFont val="Arial"/>
        <family val="2"/>
      </rPr>
      <t>-</t>
    </r>
  </si>
  <si>
    <t>Inventories</t>
  </si>
  <si>
    <t>Trade receivables</t>
  </si>
  <si>
    <t>Cash Equivalents</t>
  </si>
  <si>
    <t>Loans n Advances</t>
  </si>
  <si>
    <t>Other asset items</t>
  </si>
  <si>
    <r>
      <t>Cash from Operating Activity </t>
    </r>
    <r>
      <rPr>
        <sz val="11"/>
        <color rgb="FF665EFD"/>
        <rFont val="Arial"/>
        <family val="2"/>
      </rPr>
      <t>-</t>
    </r>
  </si>
  <si>
    <t>Profit from operations</t>
  </si>
  <si>
    <t>Receivables</t>
  </si>
  <si>
    <t>Inventory</t>
  </si>
  <si>
    <t>Payables</t>
  </si>
  <si>
    <t>Other WC items</t>
  </si>
  <si>
    <t>Working capital changes</t>
  </si>
  <si>
    <t>Direct taxes</t>
  </si>
  <si>
    <r>
      <t>Cash from Investing Activity </t>
    </r>
    <r>
      <rPr>
        <sz val="11"/>
        <color rgb="FF665EFD"/>
        <rFont val="Arial"/>
        <family val="2"/>
      </rPr>
      <t>-</t>
    </r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</si>
  <si>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</si>
  <si>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</si>
  <si>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</si>
  <si>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</si>
  <si>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</si>
  <si>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</si>
  <si>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 in subsidiaries</t>
  </si>
  <si>
    <t>Investment in group cos</t>
  </si>
  <si>
    <t>Redemp n Canc of Shares</t>
  </si>
  <si>
    <t>Other investing items</t>
  </si>
  <si>
    <r>
      <t>Cash from Financing Activity </t>
    </r>
    <r>
      <rPr>
        <sz val="11"/>
        <color rgb="FF665EFD"/>
        <rFont val="Arial"/>
        <family val="2"/>
      </rPr>
      <t>-</t>
    </r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</si>
  <si>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</si>
  <si>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</si>
  <si>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</si>
  <si>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</si>
  <si>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</si>
  <si>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</si>
  <si>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</si>
  <si>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Net Cash Flow</t>
  </si>
  <si>
    <t>TTM</t>
  </si>
  <si>
    <r>
      <t>Sales </t>
    </r>
    <r>
      <rPr>
        <sz val="11"/>
        <color rgb="FF665EFD"/>
        <rFont val="Arial"/>
        <family val="2"/>
      </rPr>
      <t>-</t>
    </r>
  </si>
  <si>
    <t>Sales Growth %</t>
  </si>
  <si>
    <t>Operating Profit</t>
  </si>
  <si>
    <t>OPM %</t>
  </si>
  <si>
    <r>
      <t>Other Income </t>
    </r>
    <r>
      <rPr>
        <sz val="11"/>
        <color rgb="FF665EFD"/>
        <rFont val="Arial"/>
        <family val="2"/>
      </rPr>
      <t>-</t>
    </r>
  </si>
  <si>
    <t>Exceptional items</t>
  </si>
  <si>
    <t>Other income normal</t>
  </si>
  <si>
    <t>Interest</t>
  </si>
  <si>
    <t>Depreciation</t>
  </si>
  <si>
    <t>Profit before tax</t>
  </si>
  <si>
    <t>Tax %</t>
  </si>
  <si>
    <r>
      <t>Net Profit </t>
    </r>
    <r>
      <rPr>
        <sz val="11"/>
        <color rgb="FF665EFD"/>
        <rFont val="Arial"/>
        <family val="2"/>
      </rPr>
      <t>-</t>
    </r>
  </si>
  <si>
    <t>Profit after tax</t>
  </si>
  <si>
    <t>Profit from Associates</t>
  </si>
  <si>
    <t>Reported Net Profit</t>
  </si>
  <si>
    <t>Minority share</t>
  </si>
  <si>
    <t>Profit for EPS</t>
  </si>
  <si>
    <t>Exceptional items AT</t>
  </si>
  <si>
    <t>Profit for PE</t>
  </si>
  <si>
    <t>EPS in Rs</t>
  </si>
  <si>
    <t>Dividend Payout %</t>
  </si>
  <si>
    <r>
      <t>Expenses </t>
    </r>
    <r>
      <rPr>
        <sz val="11"/>
        <color rgb="FF665EFD"/>
        <rFont val="Arial"/>
        <family val="2"/>
      </rPr>
      <t>-</t>
    </r>
  </si>
  <si>
    <r>
      <t>Material Cost % </t>
    </r>
    <r>
      <rPr>
        <sz val="11"/>
        <color rgb="FF665EFD"/>
        <rFont val="Arial"/>
        <family val="2"/>
      </rPr>
      <t>+</t>
    </r>
  </si>
  <si>
    <t>Manufacturing Cost %</t>
  </si>
  <si>
    <t>Employee Cost %</t>
  </si>
  <si>
    <t>Other Cost %</t>
  </si>
  <si>
    <t xml:space="preserve">Particulars </t>
  </si>
  <si>
    <t xml:space="preserve">Return On Equity (ROE) </t>
  </si>
  <si>
    <t>Net Profit</t>
  </si>
  <si>
    <t>Revenue</t>
  </si>
  <si>
    <t>Average Total Assets</t>
  </si>
  <si>
    <t>Avg Sh. Equity</t>
  </si>
  <si>
    <t xml:space="preserve">Net Profit Margin (A) </t>
  </si>
  <si>
    <t xml:space="preserve">Average Turnover Ratio (B) </t>
  </si>
  <si>
    <t xml:space="preserve">Financial Leverage (C) </t>
  </si>
  <si>
    <t>Return On Equity (A*B*C)</t>
  </si>
  <si>
    <t xml:space="preserve">Return On Asset (ROA) </t>
  </si>
  <si>
    <t xml:space="preserve">Return On Asset(ROA) </t>
  </si>
  <si>
    <t>Return On Equity (A*B)</t>
  </si>
  <si>
    <r>
      <t xml:space="preserve">ITC Ltd </t>
    </r>
    <r>
      <rPr>
        <sz val="16"/>
        <color theme="1"/>
        <rFont val="Aptos Narrow"/>
        <family val="2"/>
        <scheme val="minor"/>
      </rPr>
      <t xml:space="preserve"> ₹ 412
BSE:500857</t>
    </r>
  </si>
  <si>
    <t>Recent Updates (2025)</t>
  </si>
  <si>
    <t>DuPont Analysis</t>
  </si>
  <si>
    <t>DuPont Summary</t>
  </si>
  <si>
    <t xml:space="preserve">DuPont Equation (ROE) </t>
  </si>
  <si>
    <t xml:space="preserve">DuPont Equation (ROA)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</si>
</sst>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.0_);_(* \(#,##0.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606F7B"/>
      <name val="Arial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sz val="11"/>
      <color rgb="FF22222F"/>
      <name val="Arial"/>
      <family val="2"/>
    </font>
    <font>
      <sz val="16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2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062F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rgb="FFDBE4F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17" fontId="3" fillId="2" borderId="1" xfId="0" applyNumberFormat="1" applyFont="1" applyFill="1" applyBorder="1" applyAlignment="1">
      <alignment horizontal="right" vertical="center" wrapText="1" indent="1"/>
    </xf>
    <xf numFmtId="0" fontId="4" fillId="3" borderId="0" xfId="0" applyFont="1" applyFill="1" applyAlignment="1">
      <alignment horizontal="left" vertical="center" indent="2"/>
    </xf>
    <xf numFmtId="0" fontId="4" fillId="3" borderId="0" xfId="0" applyFont="1" applyFill="1" applyAlignment="1">
      <alignment horizontal="right" vertical="center" wrapText="1" indent="1"/>
    </xf>
    <xf numFmtId="3" fontId="4" fillId="3" borderId="0" xfId="0" applyNumberFormat="1" applyFont="1" applyFill="1" applyAlignment="1">
      <alignment horizontal="right" vertical="center" wrapText="1" indent="1"/>
    </xf>
    <xf numFmtId="0" fontId="4" fillId="2" borderId="0" xfId="0" applyFont="1" applyFill="1" applyAlignment="1">
      <alignment horizontal="left" vertical="center" indent="2"/>
    </xf>
    <xf numFmtId="3" fontId="4" fillId="2" borderId="0" xfId="0" applyNumberFormat="1" applyFont="1" applyFill="1" applyAlignment="1">
      <alignment horizontal="right" vertical="center" wrapText="1" indent="1"/>
    </xf>
    <xf numFmtId="0" fontId="6" fillId="3" borderId="2" xfId="0" applyFont="1" applyFill="1" applyBorder="1" applyAlignment="1">
      <alignment horizontal="left" vertical="center" indent="2"/>
    </xf>
    <xf numFmtId="3" fontId="6" fillId="3" borderId="2" xfId="0" applyNumberFormat="1" applyFont="1" applyFill="1" applyBorder="1" applyAlignment="1">
      <alignment horizontal="right" vertical="center" wrapText="1" indent="1"/>
    </xf>
    <xf numFmtId="0" fontId="6" fillId="2" borderId="2" xfId="0" applyFont="1" applyFill="1" applyBorder="1" applyAlignment="1">
      <alignment horizontal="left" vertical="center" indent="2"/>
    </xf>
    <xf numFmtId="3" fontId="6" fillId="2" borderId="2" xfId="0" applyNumberFormat="1" applyFont="1" applyFill="1" applyBorder="1" applyAlignment="1">
      <alignment horizontal="right" vertical="center" wrapText="1" indent="1"/>
    </xf>
    <xf numFmtId="0" fontId="6" fillId="3" borderId="2" xfId="0" applyFont="1" applyFill="1" applyBorder="1" applyAlignment="1">
      <alignment horizontal="right" vertical="center" wrapText="1" indent="1"/>
    </xf>
    <xf numFmtId="0" fontId="4" fillId="3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 wrapText="1" indent="1"/>
    </xf>
    <xf numFmtId="0" fontId="6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right" vertical="center" wrapText="1" indent="1"/>
    </xf>
    <xf numFmtId="0" fontId="6" fillId="3" borderId="2" xfId="0" applyFont="1" applyFill="1" applyBorder="1" applyAlignment="1">
      <alignment horizontal="left" vertical="center"/>
    </xf>
    <xf numFmtId="10" fontId="4" fillId="3" borderId="0" xfId="0" applyNumberFormat="1" applyFont="1" applyFill="1" applyAlignment="1">
      <alignment horizontal="right" vertical="center" wrapText="1" indent="1"/>
    </xf>
    <xf numFmtId="9" fontId="4" fillId="2" borderId="0" xfId="0" applyNumberFormat="1" applyFont="1" applyFill="1" applyAlignment="1">
      <alignment horizontal="right" vertical="center" wrapText="1" indent="1"/>
    </xf>
    <xf numFmtId="9" fontId="4" fillId="3" borderId="0" xfId="0" applyNumberFormat="1" applyFont="1" applyFill="1" applyAlignment="1">
      <alignment horizontal="right" vertical="center" wrapText="1" indent="1"/>
    </xf>
    <xf numFmtId="10" fontId="4" fillId="2" borderId="0" xfId="0" applyNumberFormat="1" applyFont="1" applyFill="1" applyAlignment="1">
      <alignment horizontal="right" vertical="center" wrapText="1" indent="1"/>
    </xf>
    <xf numFmtId="0" fontId="0" fillId="0" borderId="0" xfId="0" applyAlignment="1"/>
    <xf numFmtId="0" fontId="0" fillId="4" borderId="0" xfId="0" applyFill="1"/>
    <xf numFmtId="164" fontId="0" fillId="0" borderId="0" xfId="1" applyNumberFormat="1" applyFont="1"/>
    <xf numFmtId="3" fontId="4" fillId="5" borderId="0" xfId="0" applyNumberFormat="1" applyFont="1" applyFill="1" applyAlignment="1">
      <alignment horizontal="right" vertical="center" wrapText="1" indent="1"/>
    </xf>
    <xf numFmtId="0" fontId="6" fillId="5" borderId="2" xfId="0" applyFont="1" applyFill="1" applyBorder="1" applyAlignment="1">
      <alignment horizontal="right" vertical="center" wrapText="1" indent="1"/>
    </xf>
    <xf numFmtId="0" fontId="4" fillId="5" borderId="0" xfId="0" applyFont="1" applyFill="1" applyAlignment="1">
      <alignment horizontal="right" vertical="center" wrapText="1" indent="1"/>
    </xf>
    <xf numFmtId="3" fontId="6" fillId="5" borderId="2" xfId="0" applyNumberFormat="1" applyFont="1" applyFill="1" applyBorder="1" applyAlignment="1">
      <alignment horizontal="right" vertical="center" wrapText="1" indent="1"/>
    </xf>
    <xf numFmtId="9" fontId="4" fillId="5" borderId="0" xfId="0" applyNumberFormat="1" applyFont="1" applyFill="1" applyAlignment="1">
      <alignment horizontal="right" vertical="center" wrapText="1" indent="1"/>
    </xf>
    <xf numFmtId="0" fontId="2" fillId="5" borderId="0" xfId="0" applyFont="1" applyFill="1"/>
    <xf numFmtId="10" fontId="2" fillId="5" borderId="0" xfId="2" applyNumberFormat="1" applyFont="1" applyFill="1"/>
    <xf numFmtId="0" fontId="2" fillId="0" borderId="0" xfId="0" applyFont="1"/>
    <xf numFmtId="10" fontId="2" fillId="5" borderId="0" xfId="0" applyNumberFormat="1" applyFont="1" applyFill="1"/>
    <xf numFmtId="0" fontId="10" fillId="4" borderId="0" xfId="0" applyFont="1" applyFill="1" applyAlignment="1">
      <alignment horizontal="center" vertical="center"/>
    </xf>
    <xf numFmtId="0" fontId="12" fillId="4" borderId="0" xfId="0" applyFont="1" applyFill="1" applyAlignment="1">
      <alignment horizontal="center"/>
    </xf>
    <xf numFmtId="0" fontId="13" fillId="4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4" borderId="0" xfId="0" applyFont="1" applyFill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0" fillId="4" borderId="0" xfId="0" applyFill="1" applyAlignment="1">
      <alignment horizontal="center" vertical="center"/>
    </xf>
    <xf numFmtId="0" fontId="0" fillId="4" borderId="0" xfId="0" applyFont="1" applyFill="1" applyAlignment="1">
      <alignment horizontal="center"/>
    </xf>
    <xf numFmtId="0" fontId="0" fillId="6" borderId="0" xfId="0" applyFill="1"/>
    <xf numFmtId="17" fontId="3" fillId="6" borderId="1" xfId="0" applyNumberFormat="1" applyFont="1" applyFill="1" applyBorder="1" applyAlignment="1">
      <alignment horizontal="right" vertical="center" wrapText="1" indent="1"/>
    </xf>
    <xf numFmtId="0" fontId="6" fillId="7" borderId="2" xfId="0" applyFont="1" applyFill="1" applyBorder="1" applyAlignment="1">
      <alignment horizontal="left" vertical="center" indent="2"/>
    </xf>
    <xf numFmtId="3" fontId="6" fillId="7" borderId="2" xfId="0" applyNumberFormat="1" applyFont="1" applyFill="1" applyBorder="1" applyAlignment="1">
      <alignment horizontal="right" vertical="center" wrapText="1" indent="1"/>
    </xf>
    <xf numFmtId="0" fontId="3" fillId="6" borderId="1" xfId="0" applyFont="1" applyFill="1" applyBorder="1" applyAlignment="1">
      <alignment horizontal="right" vertical="center" wrapText="1" indent="1"/>
    </xf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2" defaultPivotStyle="PivotStyleLight16"/>
  <colors>
    <mruColors>
      <color rgb="FF062F6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Revenue (Cr.)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Duopont!$D$51:$G$51</c:f>
              <c:numCache>
                <c:formatCode>mmm\-yy</c:formatCode>
                <c:ptCount val="4"/>
                <c:pt idx="0">
                  <c:v>44256</c:v>
                </c:pt>
                <c:pt idx="1">
                  <c:v>44621</c:v>
                </c:pt>
                <c:pt idx="2">
                  <c:v>44986</c:v>
                </c:pt>
                <c:pt idx="3">
                  <c:v>45352</c:v>
                </c:pt>
              </c:numCache>
            </c:numRef>
          </c:cat>
          <c:val>
            <c:numRef>
              <c:f>Duopont!$D$53:$G$53</c:f>
              <c:numCache>
                <c:formatCode>_(* #,##0.0_);_(* \(#,##0.0\);_(* "-"??_);_(@_)</c:formatCode>
                <c:ptCount val="4"/>
                <c:pt idx="0">
                  <c:v>49257</c:v>
                </c:pt>
                <c:pt idx="1">
                  <c:v>60645</c:v>
                </c:pt>
                <c:pt idx="2">
                  <c:v>70919</c:v>
                </c:pt>
                <c:pt idx="3">
                  <c:v>70866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0A-4B14-9C96-E6414106F8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7567744"/>
        <c:axId val="1017570144"/>
      </c:barChart>
      <c:dateAx>
        <c:axId val="1017567744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7570144"/>
        <c:crosses val="autoZero"/>
        <c:auto val="1"/>
        <c:lblOffset val="100"/>
        <c:baseTimeUnit val="years"/>
      </c:dateAx>
      <c:valAx>
        <c:axId val="1017570144"/>
        <c:scaling>
          <c:orientation val="minMax"/>
        </c:scaling>
        <c:delete val="1"/>
        <c:axPos val="l"/>
        <c:numFmt formatCode="_(* #,##0.0_);_(* \(#,##0.0\);_(* &quot;-&quot;??_);_(@_)" sourceLinked="1"/>
        <c:majorTickMark val="none"/>
        <c:minorTickMark val="none"/>
        <c:tickLblPos val="nextTo"/>
        <c:crossAx val="1017567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Net Profit (Cr.)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Duopont!$D$51:$G$51</c:f>
              <c:numCache>
                <c:formatCode>mmm\-yy</c:formatCode>
                <c:ptCount val="4"/>
                <c:pt idx="0">
                  <c:v>44256</c:v>
                </c:pt>
                <c:pt idx="1">
                  <c:v>44621</c:v>
                </c:pt>
                <c:pt idx="2">
                  <c:v>44986</c:v>
                </c:pt>
                <c:pt idx="3">
                  <c:v>45352</c:v>
                </c:pt>
              </c:numCache>
            </c:numRef>
          </c:cat>
          <c:val>
            <c:numRef>
              <c:f>Duopont!$D$52:$G$52</c:f>
              <c:numCache>
                <c:formatCode>_(* #,##0.0_);_(* \(#,##0.0\);_(* "-"??_);_(@_)</c:formatCode>
                <c:ptCount val="4"/>
                <c:pt idx="0">
                  <c:v>13383</c:v>
                </c:pt>
                <c:pt idx="1">
                  <c:v>15503</c:v>
                </c:pt>
                <c:pt idx="2">
                  <c:v>19477</c:v>
                </c:pt>
                <c:pt idx="3">
                  <c:v>20751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CC-41FB-B366-D26622CB028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47907696"/>
        <c:axId val="1247908656"/>
      </c:barChart>
      <c:dateAx>
        <c:axId val="124790769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08656"/>
        <c:crosses val="autoZero"/>
        <c:auto val="1"/>
        <c:lblOffset val="100"/>
        <c:baseTimeUnit val="years"/>
      </c:dateAx>
      <c:valAx>
        <c:axId val="1247908656"/>
        <c:scaling>
          <c:orientation val="minMax"/>
        </c:scaling>
        <c:delete val="1"/>
        <c:axPos val="l"/>
        <c:numFmt formatCode="_(* #,##0.0_);_(* \(#,##0.0\);_(* &quot;-&quot;??_);_(@_)" sourceLinked="1"/>
        <c:majorTickMark val="none"/>
        <c:minorTickMark val="none"/>
        <c:tickLblPos val="nextTo"/>
        <c:crossAx val="1247907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Average Total Assets (Cr.)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Duopont!$D$51:$G$51</c:f>
              <c:numCache>
                <c:formatCode>mmm\-yy</c:formatCode>
                <c:ptCount val="4"/>
                <c:pt idx="0">
                  <c:v>44256</c:v>
                </c:pt>
                <c:pt idx="1">
                  <c:v>44621</c:v>
                </c:pt>
                <c:pt idx="2">
                  <c:v>44986</c:v>
                </c:pt>
                <c:pt idx="3">
                  <c:v>45352</c:v>
                </c:pt>
              </c:numCache>
            </c:numRef>
          </c:cat>
          <c:val>
            <c:numRef>
              <c:f>Duopont!$D$60:$G$60</c:f>
              <c:numCache>
                <c:formatCode>_(* #,##0.0_);_(* \(#,##0.0\);_(* "-"??_);_(@_)</c:formatCode>
                <c:ptCount val="4"/>
                <c:pt idx="0">
                  <c:v>75536</c:v>
                </c:pt>
                <c:pt idx="1">
                  <c:v>75478.5</c:v>
                </c:pt>
                <c:pt idx="2">
                  <c:v>81513.5</c:v>
                </c:pt>
                <c:pt idx="3">
                  <c:v>88792.5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C4-4B5B-AD76-6DAD5104F15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59278960"/>
        <c:axId val="1259280400"/>
      </c:barChart>
      <c:dateAx>
        <c:axId val="125927896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280400"/>
        <c:crosses val="autoZero"/>
        <c:auto val="1"/>
        <c:lblOffset val="100"/>
        <c:baseTimeUnit val="years"/>
      </c:dateAx>
      <c:valAx>
        <c:axId val="1259280400"/>
        <c:scaling>
          <c:orientation val="minMax"/>
        </c:scaling>
        <c:delete val="1"/>
        <c:axPos val="l"/>
        <c:numFmt formatCode="_(* #,##0.0_);_(* \(#,##0.0\);_(* &quot;-&quot;??_);_(@_)" sourceLinked="1"/>
        <c:majorTickMark val="none"/>
        <c:minorTickMark val="none"/>
        <c:tickLblPos val="nextTo"/>
        <c:crossAx val="125927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 Return</a:t>
            </a:r>
            <a:r>
              <a:rPr lang="en-US" sz="1200" baseline="0"/>
              <a:t> On Equity (%)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Duopont!$D$51:$G$51</c:f>
              <c:numCache>
                <c:formatCode>mmm\-yy</c:formatCode>
                <c:ptCount val="4"/>
                <c:pt idx="0">
                  <c:v>44256</c:v>
                </c:pt>
                <c:pt idx="1">
                  <c:v>44621</c:v>
                </c:pt>
                <c:pt idx="2">
                  <c:v>44986</c:v>
                </c:pt>
                <c:pt idx="3">
                  <c:v>45352</c:v>
                </c:pt>
              </c:numCache>
            </c:numRef>
          </c:cat>
          <c:val>
            <c:numRef>
              <c:f>Duopont!$D$64:$G$64</c:f>
              <c:numCache>
                <c:formatCode>0.00%</c:formatCode>
                <c:ptCount val="4"/>
                <c:pt idx="0">
                  <c:v>0.21307116701162232</c:v>
                </c:pt>
                <c:pt idx="1">
                  <c:v>0.25248774449927525</c:v>
                </c:pt>
                <c:pt idx="2">
                  <c:v>0.29598054859053263</c:v>
                </c:pt>
                <c:pt idx="3">
                  <c:v>0.2888864139438404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C-424E-8259-EDB197787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7287296"/>
        <c:axId val="1187287776"/>
      </c:barChart>
      <c:dateAx>
        <c:axId val="118728729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287776"/>
        <c:crosses val="autoZero"/>
        <c:auto val="1"/>
        <c:lblOffset val="100"/>
        <c:baseTimeUnit val="years"/>
      </c:dateAx>
      <c:valAx>
        <c:axId val="118728777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187287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Return</a:t>
            </a:r>
            <a:r>
              <a:rPr lang="en-US" sz="1200" baseline="0"/>
              <a:t> On Assets (%)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Duopont!$D$67:$G$67</c:f>
              <c:numCache>
                <c:formatCode>mmm\-yy</c:formatCode>
                <c:ptCount val="4"/>
                <c:pt idx="0">
                  <c:v>44256</c:v>
                </c:pt>
                <c:pt idx="1">
                  <c:v>44621</c:v>
                </c:pt>
                <c:pt idx="2">
                  <c:v>44986</c:v>
                </c:pt>
                <c:pt idx="3">
                  <c:v>45352</c:v>
                </c:pt>
              </c:numCache>
            </c:numRef>
          </c:cat>
          <c:val>
            <c:numRef>
              <c:f>Duopont!$D$70:$G$70</c:f>
              <c:numCache>
                <c:formatCode>0.00%</c:formatCode>
                <c:ptCount val="4"/>
                <c:pt idx="0">
                  <c:v>0.1771737979241686</c:v>
                </c:pt>
                <c:pt idx="1">
                  <c:v>0.2053962386639904</c:v>
                </c:pt>
                <c:pt idx="2">
                  <c:v>0.2389420157397241</c:v>
                </c:pt>
                <c:pt idx="3">
                  <c:v>0.23370217079145197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BC-4390-B018-22D06039C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7903856"/>
        <c:axId val="1247905296"/>
      </c:barChart>
      <c:dateAx>
        <c:axId val="124790385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905296"/>
        <c:crosses val="autoZero"/>
        <c:auto val="1"/>
        <c:lblOffset val="100"/>
        <c:baseTimeUnit val="years"/>
      </c:dateAx>
      <c:valAx>
        <c:axId val="12479052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4790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Financial</a:t>
            </a:r>
            <a:r>
              <a:rPr lang="en-US" baseline="0"/>
              <a:t> Leverage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.00\x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Duopont!$D$51:$G$51</c:f>
              <c:numCache>
                <c:formatCode>mmm\-yy</c:formatCode>
                <c:ptCount val="4"/>
                <c:pt idx="0">
                  <c:v>44256</c:v>
                </c:pt>
                <c:pt idx="1">
                  <c:v>44621</c:v>
                </c:pt>
                <c:pt idx="2">
                  <c:v>44986</c:v>
                </c:pt>
                <c:pt idx="3">
                  <c:v>45352</c:v>
                </c:pt>
              </c:numCache>
            </c:numRef>
          </c:cat>
          <c:val>
            <c:numRef>
              <c:f>Duopont!$D$62:$G$62</c:f>
              <c:numCache>
                <c:formatCode>0.00%</c:formatCode>
                <c:ptCount val="4"/>
                <c:pt idx="0">
                  <c:v>1.2026110491959878</c:v>
                </c:pt>
                <c:pt idx="1">
                  <c:v>1.2292715102359897</c:v>
                </c:pt>
                <c:pt idx="2">
                  <c:v>1.2387128637641516</c:v>
                </c:pt>
                <c:pt idx="3">
                  <c:v>1.2361306399743843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D7-41BC-A29D-C9E4AE11DB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87288736"/>
        <c:axId val="1187292096"/>
      </c:barChart>
      <c:dateAx>
        <c:axId val="1187288736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292096"/>
        <c:crosses val="autoZero"/>
        <c:auto val="1"/>
        <c:lblOffset val="100"/>
        <c:baseTimeUnit val="years"/>
      </c:dateAx>
      <c:valAx>
        <c:axId val="1187292096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18728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jp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201247</xdr:colOff>
      <xdr:row>5</xdr:row>
      <xdr:rowOff>48845</xdr:rowOff>
    </xdr:from>
    <xdr:to>
      <xdr:col>6</xdr:col>
      <xdr:colOff>563197</xdr:colOff>
      <xdr:row>13</xdr:row>
      <xdr:rowOff>158749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E0C6D96-5876-8D0C-8222-2D784B9F55A0}"/>
            </a:ext>
          </a:extLst>
        </xdr:cNvPr>
        <xdr:cNvSpPr txBox="1"/>
      </xdr:nvSpPr>
      <xdr:spPr>
        <a:xfrm>
          <a:off x="201247" y="1294422"/>
          <a:ext cx="5954835" cy="167298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>
              <a:solidFill>
                <a:srgbClr val="062F62"/>
              </a:solidFill>
              <a:effectLst/>
              <a:latin typeface="+mn-lt"/>
              <a:ea typeface="+mn-ea"/>
              <a:cs typeface="+mn-cs"/>
            </a:rPr>
            <a:t>About</a:t>
          </a:r>
          <a:r>
            <a:rPr lang="en-US" sz="1400" b="1" i="0" baseline="0">
              <a:solidFill>
                <a:srgbClr val="062F62"/>
              </a:solidFill>
              <a:effectLst/>
              <a:latin typeface="+mn-lt"/>
              <a:ea typeface="+mn-ea"/>
              <a:cs typeface="+mn-cs"/>
            </a:rPr>
            <a:t> the Company</a:t>
          </a:r>
        </a:p>
        <a:p>
          <a:r>
            <a:rPr lang="en-US" sz="1200" b="1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ITC Limited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is an Indian 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conglomerate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headquartered in 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Kolkata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 It has a presence across six business segments, namely 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FMCG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agribusiness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information technology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 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paper products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and 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packaging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.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It generates a plurality of its revenue from tobacco products.</a:t>
          </a:r>
          <a:r>
            <a:rPr lang="en-US" sz="1200" b="0" i="0" u="non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In terms of 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market capitalization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, ITC is the second-largest </a:t>
          </a:r>
          <a:r>
            <a:rPr lang="en-US" sz="1200" b="0" i="0" u="none" strike="noStrik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  <a:hlinkClick xmlns:r="http://schemas.openxmlformats.org/officeDocument/2006/relationships" r:id="">
                <a:extLst>
                  <a:ext uri="{A12FA001-AC4F-418D-AE19-62706E023703}">
                    <ahyp:hlinkClr xmlns:ahyp="http://schemas.microsoft.com/office/drawing/2018/hyperlinkcolor" val="tx"/>
                  </a:ext>
                </a:extLst>
              </a:hlinkClick>
            </a:rPr>
            <a:t>FMCG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 company in India and the third-largest tobacco company in the world. It employs 36,500 people at more than 60 locations across India.</a:t>
          </a:r>
          <a:r>
            <a:rPr lang="en-US" sz="1200" b="0" i="0" u="none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200" b="0" i="0" u="none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Its products are available in 6 million retail outlets in India and exported to 90 countries.</a:t>
          </a:r>
        </a:p>
      </xdr:txBody>
    </xdr:sp>
    <xdr:clientData/>
  </xdr:twoCellAnchor>
  <xdr:twoCellAnchor>
    <xdr:from>
      <xdr:col>0</xdr:col>
      <xdr:colOff>309563</xdr:colOff>
      <xdr:row>12</xdr:row>
      <xdr:rowOff>67257</xdr:rowOff>
    </xdr:from>
    <xdr:to>
      <xdr:col>2</xdr:col>
      <xdr:colOff>487363</xdr:colOff>
      <xdr:row>21</xdr:row>
      <xdr:rowOff>181557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03E170-51BB-AD72-2B5B-BAAEFF4297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1586</xdr:colOff>
      <xdr:row>12</xdr:row>
      <xdr:rowOff>85724</xdr:rowOff>
    </xdr:from>
    <xdr:to>
      <xdr:col>6</xdr:col>
      <xdr:colOff>496886</xdr:colOff>
      <xdr:row>22</xdr:row>
      <xdr:rowOff>9524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3E2FC30-488A-5A89-51EF-29DD6998D0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293688</xdr:colOff>
      <xdr:row>32</xdr:row>
      <xdr:rowOff>43283</xdr:rowOff>
    </xdr:from>
    <xdr:to>
      <xdr:col>2</xdr:col>
      <xdr:colOff>471488</xdr:colOff>
      <xdr:row>41</xdr:row>
      <xdr:rowOff>157583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5590D4F-1CF4-5B5D-1FD3-40FAE9845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311150</xdr:colOff>
      <xdr:row>22</xdr:row>
      <xdr:rowOff>44450</xdr:rowOff>
    </xdr:from>
    <xdr:to>
      <xdr:col>2</xdr:col>
      <xdr:colOff>488950</xdr:colOff>
      <xdr:row>31</xdr:row>
      <xdr:rowOff>158750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577EF65-E872-F9B1-500C-6C55DE53F7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14287</xdr:colOff>
      <xdr:row>22</xdr:row>
      <xdr:rowOff>69850</xdr:rowOff>
    </xdr:from>
    <xdr:to>
      <xdr:col>6</xdr:col>
      <xdr:colOff>509587</xdr:colOff>
      <xdr:row>31</xdr:row>
      <xdr:rowOff>184150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AD19FF2-82A5-B29F-560E-F6C51F56FA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7937</xdr:colOff>
      <xdr:row>32</xdr:row>
      <xdr:rowOff>47624</xdr:rowOff>
    </xdr:from>
    <xdr:to>
      <xdr:col>6</xdr:col>
      <xdr:colOff>503237</xdr:colOff>
      <xdr:row>41</xdr:row>
      <xdr:rowOff>161924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3A61BE4-9146-0089-50A4-3DDA2D7CD1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131579</xdr:colOff>
      <xdr:row>3</xdr:row>
      <xdr:rowOff>47623</xdr:rowOff>
    </xdr:from>
    <xdr:to>
      <xdr:col>15</xdr:col>
      <xdr:colOff>868066</xdr:colOff>
      <xdr:row>12</xdr:row>
      <xdr:rowOff>11906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9732CAE8-833E-BADE-4AF3-7568C8D0FA4F}"/>
            </a:ext>
          </a:extLst>
        </xdr:cNvPr>
        <xdr:cNvSpPr txBox="1"/>
      </xdr:nvSpPr>
      <xdr:spPr>
        <a:xfrm>
          <a:off x="6481579" y="902431"/>
          <a:ext cx="6011872" cy="1722744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/>
            <a:t> ROE has consistently improved</a:t>
          </a:r>
          <a:r>
            <a:rPr lang="en-US" sz="1200"/>
            <a:t>, peaking at </a:t>
          </a:r>
          <a:r>
            <a:rPr lang="en-US" sz="1200" b="1"/>
            <a:t>29.60% in FY23</a:t>
          </a:r>
          <a:r>
            <a:rPr lang="en-US" sz="1200"/>
            <a:t> and slightly moderating to </a:t>
          </a:r>
          <a:r>
            <a:rPr lang="en-US" sz="1200" b="1"/>
            <a:t>28.89% in FY24</a:t>
          </a:r>
          <a:r>
            <a:rPr lang="en-US" sz="1200"/>
            <a:t>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/>
            <a:t> Net Profit Margin</a:t>
          </a:r>
          <a:r>
            <a:rPr lang="en-US" sz="1200"/>
            <a:t> saw strong improvement post-2021, growing from </a:t>
          </a:r>
          <a:r>
            <a:rPr lang="en-US" sz="1200" b="1"/>
            <a:t>25.56% in FY22</a:t>
          </a:r>
          <a:r>
            <a:rPr lang="en-US" sz="1200"/>
            <a:t> to </a:t>
          </a:r>
          <a:r>
            <a:rPr lang="en-US" sz="1200" b="1"/>
            <a:t>29.28% in FY24</a:t>
          </a:r>
          <a:r>
            <a:rPr lang="en-US" sz="1200"/>
            <a:t>, indicating enhanced profitability.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/>
            <a:t>Asset Turnover</a:t>
          </a:r>
          <a:r>
            <a:rPr lang="en-US" sz="1200"/>
            <a:t> improved significantly from FY21 to FY23, reflecting better asset utilization, though there was a slight dip in FY24.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 b="1"/>
            <a:t> Financial Leverage</a:t>
          </a:r>
          <a:r>
            <a:rPr lang="en-US" sz="1200"/>
            <a:t> remained stable and modestly increased, showing a balanced use of debt/equity to boost returns without excessive risk.</a:t>
          </a:r>
        </a:p>
        <a:p>
          <a:endParaRPr lang="en-US" sz="1100"/>
        </a:p>
      </xdr:txBody>
    </xdr:sp>
    <xdr:clientData/>
  </xdr:twoCellAnchor>
  <xdr:twoCellAnchor editAs="oneCell">
    <xdr:from>
      <xdr:col>7</xdr:col>
      <xdr:colOff>483899</xdr:colOff>
      <xdr:row>12</xdr:row>
      <xdr:rowOff>115835</xdr:rowOff>
    </xdr:from>
    <xdr:to>
      <xdr:col>15</xdr:col>
      <xdr:colOff>274933</xdr:colOff>
      <xdr:row>28</xdr:row>
      <xdr:rowOff>125974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4DC5FC-BCEB-3C44-7DA5-C3DAEC7AE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33899" y="2729104"/>
          <a:ext cx="5066419" cy="3136293"/>
        </a:xfrm>
        <a:prstGeom prst="rect">
          <a:avLst/>
        </a:prstGeom>
        <a:noFill/>
      </xdr:spPr>
    </xdr:pic>
    <xdr:clientData/>
  </xdr:twoCellAnchor>
  <xdr:twoCellAnchor>
    <xdr:from>
      <xdr:col>7</xdr:col>
      <xdr:colOff>280866</xdr:colOff>
      <xdr:row>30</xdr:row>
      <xdr:rowOff>170963</xdr:rowOff>
    </xdr:from>
    <xdr:to>
      <xdr:col>15</xdr:col>
      <xdr:colOff>757115</xdr:colOff>
      <xdr:row>41</xdr:row>
      <xdr:rowOff>134328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90651187-9D6B-E360-D04F-AB3DD2239EAB}"/>
            </a:ext>
          </a:extLst>
        </xdr:cNvPr>
        <xdr:cNvSpPr txBox="1"/>
      </xdr:nvSpPr>
      <xdr:spPr>
        <a:xfrm>
          <a:off x="6630866" y="6301155"/>
          <a:ext cx="5751634" cy="211259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171450" indent="-171450">
            <a:buFont typeface="Arial" panose="020B0604020202020204" pitchFamily="34" charset="0"/>
            <a:buChar char="•"/>
          </a:pPr>
          <a:r>
            <a:rPr lang="en-US" sz="1200"/>
            <a:t>ITC acquired Aditya Birla Real Estate’s pulp &amp; paper business to bolster its paperboards and packaging segment.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/>
            <a:t>ITC also acquired </a:t>
          </a:r>
          <a:r>
            <a:rPr lang="en-US" sz="1200" i="1"/>
            <a:t>Prasuma</a:t>
          </a:r>
          <a:r>
            <a:rPr lang="en-US" sz="1200"/>
            <a:t>, a leading brand in frozen, chilled, and ready-to-cook products. This move strengthens ITC’s position in the high-growth packaged foods category.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/>
            <a:t>For Q3 FY25 (ending Dec 2024), ITC reported consolidated revenue of ₹17,052.82 crore, reflecting steady performance across core businesses despite inflationary pressures.</a:t>
          </a:r>
        </a:p>
        <a:p>
          <a:pPr marL="171450" indent="-171450">
            <a:buFont typeface="Arial" panose="020B0604020202020204" pitchFamily="34" charset="0"/>
            <a:buChar char="•"/>
          </a:pPr>
          <a:r>
            <a:rPr lang="en-US" sz="1200"/>
            <a:t>As of April 8, 2025, ITC’s stock traded at ₹412.55, recovering from recent lows but still about 17% below its 52-week high of ₹498.94 (hit in Sept 2024), indicating potential for upside.</a:t>
          </a:r>
        </a:p>
      </xdr:txBody>
    </xdr: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AB3EC-A099-48DD-AC0D-DB3011DCB982}">
  <dimension ref="A1:N35"/>
  <sheetViews>
    <sheetView zoomScale="85" zoomScaleNormal="85" workbookViewId="0">
      <selection activeCell="D43" sqref="D43"/>
    </sheetView>
  </sheetViews>
  <sheetFormatPr defaultRowHeight="15" outlineLevelRow="1" x14ac:dyDescent="0.25"/>
  <cols>
    <col min="1" max="1" width="20.140625" bestFit="1" customWidth="1"/>
    <col min="2" max="14" width="9.7109375" bestFit="1" customWidth="1"/>
  </cols>
  <sheetData>
    <row r="1" spans="1:14" ht="15.75" thickBot="1" x14ac:dyDescent="0.3">
      <c r="A1" s="44" t="s">
        <v>89</v>
      </c>
      <c r="B1" s="45">
        <v>41334</v>
      </c>
      <c r="C1" s="45">
        <v>41699</v>
      </c>
      <c r="D1" s="45">
        <v>42064</v>
      </c>
      <c r="E1" s="45">
        <v>42430</v>
      </c>
      <c r="F1" s="45">
        <v>42795</v>
      </c>
      <c r="G1" s="45">
        <v>43160</v>
      </c>
      <c r="H1" s="45">
        <v>43525</v>
      </c>
      <c r="I1" s="45">
        <v>43891</v>
      </c>
      <c r="J1" s="45">
        <v>44256</v>
      </c>
      <c r="K1" s="45">
        <v>44621</v>
      </c>
      <c r="L1" s="45">
        <v>44986</v>
      </c>
      <c r="M1" s="45">
        <v>45352</v>
      </c>
      <c r="N1" s="45">
        <v>45536</v>
      </c>
    </row>
    <row r="2" spans="1:14" x14ac:dyDescent="0.25">
      <c r="A2" s="2" t="s">
        <v>0</v>
      </c>
      <c r="B2" s="3">
        <v>790</v>
      </c>
      <c r="C2" s="3">
        <v>795</v>
      </c>
      <c r="D2" s="3">
        <v>802</v>
      </c>
      <c r="E2" s="3">
        <v>805</v>
      </c>
      <c r="F2" s="4">
        <v>1215</v>
      </c>
      <c r="G2" s="4">
        <v>1220</v>
      </c>
      <c r="H2" s="4">
        <v>1226</v>
      </c>
      <c r="I2" s="4">
        <v>1229</v>
      </c>
      <c r="J2" s="4">
        <v>1231</v>
      </c>
      <c r="K2" s="4">
        <v>1232</v>
      </c>
      <c r="L2" s="4">
        <v>1243</v>
      </c>
      <c r="M2" s="4">
        <v>1248</v>
      </c>
      <c r="N2" s="25">
        <v>1251</v>
      </c>
    </row>
    <row r="3" spans="1:14" ht="15.75" thickBot="1" x14ac:dyDescent="0.3">
      <c r="A3" s="5" t="s">
        <v>1</v>
      </c>
      <c r="B3" s="6">
        <v>22368</v>
      </c>
      <c r="C3" s="6">
        <v>26442</v>
      </c>
      <c r="D3" s="6">
        <v>30934</v>
      </c>
      <c r="E3" s="6">
        <v>41875</v>
      </c>
      <c r="F3" s="6">
        <v>45198</v>
      </c>
      <c r="G3" s="6">
        <v>51290</v>
      </c>
      <c r="H3" s="6">
        <v>57915</v>
      </c>
      <c r="I3" s="6">
        <v>64044</v>
      </c>
      <c r="J3" s="6">
        <v>59116</v>
      </c>
      <c r="K3" s="6">
        <v>61223</v>
      </c>
      <c r="L3" s="6">
        <v>67912</v>
      </c>
      <c r="M3" s="6">
        <v>73259</v>
      </c>
      <c r="N3" s="25">
        <v>74015</v>
      </c>
    </row>
    <row r="4" spans="1:14" ht="15.75" thickBot="1" x14ac:dyDescent="0.3">
      <c r="A4" s="7" t="s">
        <v>6</v>
      </c>
      <c r="B4" s="11">
        <v>102</v>
      </c>
      <c r="C4" s="11">
        <v>242</v>
      </c>
      <c r="D4" s="11">
        <v>269</v>
      </c>
      <c r="E4" s="11">
        <v>84</v>
      </c>
      <c r="F4" s="11">
        <v>46</v>
      </c>
      <c r="G4" s="11">
        <v>36</v>
      </c>
      <c r="H4" s="11">
        <v>13</v>
      </c>
      <c r="I4" s="11">
        <v>277</v>
      </c>
      <c r="J4" s="11">
        <v>271</v>
      </c>
      <c r="K4" s="11">
        <v>249</v>
      </c>
      <c r="L4" s="11">
        <v>306</v>
      </c>
      <c r="M4" s="11">
        <v>303</v>
      </c>
      <c r="N4" s="26">
        <v>304</v>
      </c>
    </row>
    <row r="5" spans="1:14" hidden="1" outlineLevel="1" x14ac:dyDescent="0.25">
      <c r="A5" s="12" t="s">
        <v>7</v>
      </c>
      <c r="B5" s="3">
        <v>91</v>
      </c>
      <c r="C5" s="3">
        <v>76</v>
      </c>
      <c r="D5" s="3">
        <v>61</v>
      </c>
      <c r="E5" s="3">
        <v>27</v>
      </c>
      <c r="F5" s="3">
        <v>18</v>
      </c>
      <c r="G5" s="3">
        <v>12</v>
      </c>
      <c r="H5" s="3">
        <v>8</v>
      </c>
      <c r="I5" s="3">
        <v>6</v>
      </c>
      <c r="J5" s="3">
        <v>6</v>
      </c>
      <c r="K5" s="3">
        <v>5</v>
      </c>
      <c r="L5" s="3">
        <v>3</v>
      </c>
      <c r="M5" s="3">
        <v>2</v>
      </c>
      <c r="N5" s="27">
        <v>2</v>
      </c>
    </row>
    <row r="6" spans="1:14" hidden="1" outlineLevel="1" x14ac:dyDescent="0.25">
      <c r="A6" s="12" t="s">
        <v>8</v>
      </c>
      <c r="B6" s="3">
        <v>0</v>
      </c>
      <c r="C6" s="3">
        <v>150</v>
      </c>
      <c r="D6" s="3">
        <v>195</v>
      </c>
      <c r="E6" s="3">
        <v>44</v>
      </c>
      <c r="F6" s="3">
        <v>19</v>
      </c>
      <c r="G6" s="3">
        <v>17</v>
      </c>
      <c r="H6" s="3">
        <v>2</v>
      </c>
      <c r="I6" s="3">
        <v>1</v>
      </c>
      <c r="J6" s="3">
        <v>4</v>
      </c>
      <c r="K6" s="3">
        <v>1</v>
      </c>
      <c r="L6" s="3">
        <v>35</v>
      </c>
      <c r="M6" s="3">
        <v>10</v>
      </c>
      <c r="N6" s="27">
        <v>25</v>
      </c>
    </row>
    <row r="7" spans="1:14" hidden="1" outlineLevel="1" x14ac:dyDescent="0.25">
      <c r="A7" s="12" t="s">
        <v>9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268</v>
      </c>
      <c r="J7" s="3">
        <v>261</v>
      </c>
      <c r="K7" s="3">
        <v>244</v>
      </c>
      <c r="L7" s="3">
        <v>267</v>
      </c>
      <c r="M7" s="3">
        <v>292</v>
      </c>
      <c r="N7" s="27">
        <v>278</v>
      </c>
    </row>
    <row r="8" spans="1:14" ht="15.75" hidden="1" outlineLevel="1" thickBot="1" x14ac:dyDescent="0.3">
      <c r="A8" s="12" t="s">
        <v>10</v>
      </c>
      <c r="B8" s="3">
        <v>12</v>
      </c>
      <c r="C8" s="3">
        <v>16</v>
      </c>
      <c r="D8" s="3">
        <v>13</v>
      </c>
      <c r="E8" s="3">
        <v>13</v>
      </c>
      <c r="F8" s="3">
        <v>8</v>
      </c>
      <c r="G8" s="3">
        <v>7</v>
      </c>
      <c r="H8" s="3">
        <v>3</v>
      </c>
      <c r="I8" s="3">
        <v>2</v>
      </c>
      <c r="J8" s="3">
        <v>0</v>
      </c>
      <c r="K8" s="3">
        <v>0</v>
      </c>
      <c r="L8" s="3">
        <v>0</v>
      </c>
      <c r="M8" s="3">
        <v>0</v>
      </c>
      <c r="N8" s="27"/>
    </row>
    <row r="9" spans="1:14" ht="15.75" collapsed="1" thickBot="1" x14ac:dyDescent="0.3">
      <c r="A9" s="9" t="s">
        <v>11</v>
      </c>
      <c r="B9" s="10">
        <v>12069</v>
      </c>
      <c r="C9" s="10">
        <v>13369</v>
      </c>
      <c r="D9" s="10">
        <v>13948</v>
      </c>
      <c r="E9" s="10">
        <v>8888</v>
      </c>
      <c r="F9" s="10">
        <v>9440</v>
      </c>
      <c r="G9" s="10">
        <v>11695</v>
      </c>
      <c r="H9" s="10">
        <v>12585</v>
      </c>
      <c r="I9" s="10">
        <v>11760</v>
      </c>
      <c r="J9" s="10">
        <v>13143</v>
      </c>
      <c r="K9" s="10">
        <v>14491</v>
      </c>
      <c r="L9" s="10">
        <v>16370</v>
      </c>
      <c r="M9" s="10">
        <v>16944</v>
      </c>
      <c r="N9" s="28">
        <v>18501</v>
      </c>
    </row>
    <row r="10" spans="1:14" hidden="1" outlineLevel="1" x14ac:dyDescent="0.25">
      <c r="A10" s="13" t="s">
        <v>12</v>
      </c>
      <c r="B10" s="14">
        <v>180</v>
      </c>
      <c r="C10" s="14">
        <v>203</v>
      </c>
      <c r="D10" s="14">
        <v>225</v>
      </c>
      <c r="E10" s="14">
        <v>261</v>
      </c>
      <c r="F10" s="14">
        <v>295</v>
      </c>
      <c r="G10" s="14">
        <v>334</v>
      </c>
      <c r="H10" s="14">
        <v>343</v>
      </c>
      <c r="I10" s="14">
        <v>377</v>
      </c>
      <c r="J10" s="14">
        <v>347</v>
      </c>
      <c r="K10" s="14">
        <v>366</v>
      </c>
      <c r="L10" s="14">
        <v>384</v>
      </c>
      <c r="M10" s="14">
        <v>383</v>
      </c>
      <c r="N10" s="27">
        <v>526</v>
      </c>
    </row>
    <row r="11" spans="1:14" hidden="1" outlineLevel="1" x14ac:dyDescent="0.25">
      <c r="A11" s="13" t="s">
        <v>13</v>
      </c>
      <c r="B11" s="6">
        <v>1772</v>
      </c>
      <c r="C11" s="6">
        <v>2106</v>
      </c>
      <c r="D11" s="6">
        <v>2020</v>
      </c>
      <c r="E11" s="6">
        <v>2339</v>
      </c>
      <c r="F11" s="6">
        <v>2659</v>
      </c>
      <c r="G11" s="6">
        <v>3496</v>
      </c>
      <c r="H11" s="6">
        <v>3510</v>
      </c>
      <c r="I11" s="6">
        <v>3630</v>
      </c>
      <c r="J11" s="6">
        <v>4319</v>
      </c>
      <c r="K11" s="6">
        <v>4417</v>
      </c>
      <c r="L11" s="6">
        <v>4659</v>
      </c>
      <c r="M11" s="6">
        <v>4798</v>
      </c>
      <c r="N11" s="25">
        <v>4936</v>
      </c>
    </row>
    <row r="12" spans="1:14" hidden="1" outlineLevel="1" x14ac:dyDescent="0.25">
      <c r="A12" s="13" t="s">
        <v>14</v>
      </c>
      <c r="B12" s="14">
        <v>0</v>
      </c>
      <c r="C12" s="14">
        <v>0</v>
      </c>
      <c r="D12" s="14">
        <v>0</v>
      </c>
      <c r="E12" s="14">
        <v>805</v>
      </c>
      <c r="F12" s="14">
        <v>495</v>
      </c>
      <c r="G12" s="14">
        <v>461</v>
      </c>
      <c r="H12" s="14">
        <v>430</v>
      </c>
      <c r="I12" s="14">
        <v>703</v>
      </c>
      <c r="J12" s="14">
        <v>811</v>
      </c>
      <c r="K12" s="6">
        <v>1278</v>
      </c>
      <c r="L12" s="6">
        <v>1295</v>
      </c>
      <c r="M12" s="14">
        <v>886</v>
      </c>
      <c r="N12" s="27"/>
    </row>
    <row r="13" spans="1:14" ht="15.75" hidden="1" outlineLevel="1" thickBot="1" x14ac:dyDescent="0.3">
      <c r="A13" s="13" t="s">
        <v>15</v>
      </c>
      <c r="B13" s="6">
        <v>10118</v>
      </c>
      <c r="C13" s="6">
        <v>11060</v>
      </c>
      <c r="D13" s="6">
        <v>11702</v>
      </c>
      <c r="E13" s="6">
        <v>5483</v>
      </c>
      <c r="F13" s="6">
        <v>5991</v>
      </c>
      <c r="G13" s="6">
        <v>7404</v>
      </c>
      <c r="H13" s="6">
        <v>8301</v>
      </c>
      <c r="I13" s="6">
        <v>7050</v>
      </c>
      <c r="J13" s="6">
        <v>7666</v>
      </c>
      <c r="K13" s="6">
        <v>8429</v>
      </c>
      <c r="L13" s="6">
        <v>10032</v>
      </c>
      <c r="M13" s="6">
        <v>10877</v>
      </c>
      <c r="N13" s="25">
        <v>13038</v>
      </c>
    </row>
    <row r="14" spans="1:14" ht="15.75" collapsed="1" thickBot="1" x14ac:dyDescent="0.3">
      <c r="A14" s="46" t="s">
        <v>2</v>
      </c>
      <c r="B14" s="47">
        <v>35329</v>
      </c>
      <c r="C14" s="47">
        <v>40848</v>
      </c>
      <c r="D14" s="47">
        <v>45952</v>
      </c>
      <c r="E14" s="47">
        <v>51651</v>
      </c>
      <c r="F14" s="47">
        <v>55898</v>
      </c>
      <c r="G14" s="47">
        <v>64241</v>
      </c>
      <c r="H14" s="47">
        <v>71739</v>
      </c>
      <c r="I14" s="47">
        <v>77311</v>
      </c>
      <c r="J14" s="47">
        <v>73761</v>
      </c>
      <c r="K14" s="47">
        <v>77196</v>
      </c>
      <c r="L14" s="47">
        <v>85831</v>
      </c>
      <c r="M14" s="47">
        <v>91754</v>
      </c>
      <c r="N14" s="47">
        <v>94071</v>
      </c>
    </row>
    <row r="15" spans="1:14" x14ac:dyDescent="0.25">
      <c r="A15" s="9" t="s">
        <v>16</v>
      </c>
      <c r="B15" s="10">
        <v>12140</v>
      </c>
      <c r="C15" s="10">
        <v>12921</v>
      </c>
      <c r="D15" s="10">
        <v>15303</v>
      </c>
      <c r="E15" s="10">
        <v>15107</v>
      </c>
      <c r="F15" s="10">
        <v>15893</v>
      </c>
      <c r="G15" s="10">
        <v>16524</v>
      </c>
      <c r="H15" s="10">
        <v>19374</v>
      </c>
      <c r="I15" s="10">
        <v>21713</v>
      </c>
      <c r="J15" s="10">
        <v>23298</v>
      </c>
      <c r="K15" s="10">
        <v>24232</v>
      </c>
      <c r="L15" s="10">
        <v>25851</v>
      </c>
      <c r="M15" s="10">
        <v>27820</v>
      </c>
      <c r="N15" s="28">
        <v>29492</v>
      </c>
    </row>
    <row r="16" spans="1:14" hidden="1" outlineLevel="1" x14ac:dyDescent="0.25">
      <c r="A16" s="13" t="s">
        <v>17</v>
      </c>
      <c r="B16" s="6">
        <v>1512</v>
      </c>
      <c r="C16" s="6">
        <v>1564</v>
      </c>
      <c r="D16" s="6">
        <v>1717</v>
      </c>
      <c r="E16" s="6">
        <v>1615</v>
      </c>
      <c r="F16" s="6">
        <v>1673</v>
      </c>
      <c r="G16" s="6">
        <v>1685</v>
      </c>
      <c r="H16" s="6">
        <v>2021</v>
      </c>
      <c r="I16" s="6">
        <v>2797</v>
      </c>
      <c r="J16" s="6">
        <v>2889</v>
      </c>
      <c r="K16" s="6">
        <v>2829</v>
      </c>
      <c r="L16" s="6">
        <v>2830</v>
      </c>
      <c r="M16" s="6">
        <v>2865</v>
      </c>
      <c r="N16" s="27"/>
    </row>
    <row r="17" spans="1:14" hidden="1" outlineLevel="1" x14ac:dyDescent="0.25">
      <c r="A17" s="13" t="s">
        <v>18</v>
      </c>
      <c r="B17" s="6">
        <v>3802</v>
      </c>
      <c r="C17" s="6">
        <v>4110</v>
      </c>
      <c r="D17" s="6">
        <v>4860</v>
      </c>
      <c r="E17" s="6">
        <v>4219</v>
      </c>
      <c r="F17" s="6">
        <v>4716</v>
      </c>
      <c r="G17" s="6">
        <v>5331</v>
      </c>
      <c r="H17" s="6">
        <v>6996</v>
      </c>
      <c r="I17" s="6">
        <v>8161</v>
      </c>
      <c r="J17" s="6">
        <v>8387</v>
      </c>
      <c r="K17" s="6">
        <v>9100</v>
      </c>
      <c r="L17" s="6">
        <v>9789</v>
      </c>
      <c r="M17" s="6">
        <v>10944</v>
      </c>
      <c r="N17" s="27"/>
    </row>
    <row r="18" spans="1:14" hidden="1" outlineLevel="1" x14ac:dyDescent="0.25">
      <c r="A18" s="13" t="s">
        <v>19</v>
      </c>
      <c r="B18" s="6">
        <v>11422</v>
      </c>
      <c r="C18" s="6">
        <v>12633</v>
      </c>
      <c r="D18" s="6">
        <v>14667</v>
      </c>
      <c r="E18" s="6">
        <v>9112</v>
      </c>
      <c r="F18" s="6">
        <v>10384</v>
      </c>
      <c r="G18" s="6">
        <v>11453</v>
      </c>
      <c r="H18" s="6">
        <v>13316</v>
      </c>
      <c r="I18" s="6">
        <v>14625</v>
      </c>
      <c r="J18" s="6">
        <v>15307</v>
      </c>
      <c r="K18" s="6">
        <v>16912</v>
      </c>
      <c r="L18" s="6">
        <v>18480</v>
      </c>
      <c r="M18" s="6">
        <v>20718</v>
      </c>
      <c r="N18" s="27"/>
    </row>
    <row r="19" spans="1:14" hidden="1" outlineLevel="1" x14ac:dyDescent="0.25">
      <c r="A19" s="13" t="s">
        <v>20</v>
      </c>
      <c r="B19" s="14">
        <v>27</v>
      </c>
      <c r="C19" s="14">
        <v>34</v>
      </c>
      <c r="D19" s="14">
        <v>46</v>
      </c>
      <c r="E19" s="14">
        <v>27</v>
      </c>
      <c r="F19" s="14">
        <v>32</v>
      </c>
      <c r="G19" s="14">
        <v>32</v>
      </c>
      <c r="H19" s="14">
        <v>34</v>
      </c>
      <c r="I19" s="14">
        <v>40</v>
      </c>
      <c r="J19" s="14">
        <v>41</v>
      </c>
      <c r="K19" s="14">
        <v>44</v>
      </c>
      <c r="L19" s="14">
        <v>44</v>
      </c>
      <c r="M19" s="14">
        <v>53</v>
      </c>
      <c r="N19" s="27"/>
    </row>
    <row r="20" spans="1:14" hidden="1" outlineLevel="1" x14ac:dyDescent="0.25">
      <c r="A20" s="13" t="s">
        <v>21</v>
      </c>
      <c r="B20" s="14">
        <v>690</v>
      </c>
      <c r="C20" s="14">
        <v>729</v>
      </c>
      <c r="D20" s="14">
        <v>805</v>
      </c>
      <c r="E20" s="14">
        <v>413</v>
      </c>
      <c r="F20" s="14">
        <v>459</v>
      </c>
      <c r="G20" s="14">
        <v>497</v>
      </c>
      <c r="H20" s="14">
        <v>644</v>
      </c>
      <c r="I20" s="14">
        <v>810</v>
      </c>
      <c r="J20" s="14">
        <v>833</v>
      </c>
      <c r="K20" s="14">
        <v>907</v>
      </c>
      <c r="L20" s="6">
        <v>1000</v>
      </c>
      <c r="M20" s="6">
        <v>1068</v>
      </c>
      <c r="N20" s="27"/>
    </row>
    <row r="21" spans="1:14" hidden="1" outlineLevel="1" x14ac:dyDescent="0.25">
      <c r="A21" s="13" t="s">
        <v>22</v>
      </c>
      <c r="B21" s="14">
        <v>2</v>
      </c>
      <c r="C21" s="14">
        <v>2</v>
      </c>
      <c r="D21" s="14">
        <v>2</v>
      </c>
      <c r="E21" s="14">
        <v>2</v>
      </c>
      <c r="F21" s="14">
        <v>2</v>
      </c>
      <c r="G21" s="14">
        <v>2</v>
      </c>
      <c r="H21" s="14">
        <v>2</v>
      </c>
      <c r="I21" s="14">
        <v>2</v>
      </c>
      <c r="J21" s="14">
        <v>2</v>
      </c>
      <c r="K21" s="14">
        <v>2</v>
      </c>
      <c r="L21" s="14">
        <v>2</v>
      </c>
      <c r="M21" s="14">
        <v>2</v>
      </c>
      <c r="N21" s="27"/>
    </row>
    <row r="22" spans="1:14" hidden="1" outlineLevel="1" x14ac:dyDescent="0.25">
      <c r="A22" s="13" t="s">
        <v>23</v>
      </c>
      <c r="B22" s="14">
        <v>110</v>
      </c>
      <c r="C22" s="14">
        <v>120</v>
      </c>
      <c r="D22" s="14">
        <v>128</v>
      </c>
      <c r="E22" s="14">
        <v>107</v>
      </c>
      <c r="F22" s="14">
        <v>128</v>
      </c>
      <c r="G22" s="14">
        <v>140</v>
      </c>
      <c r="H22" s="14">
        <v>161</v>
      </c>
      <c r="I22" s="14">
        <v>184</v>
      </c>
      <c r="J22" s="14">
        <v>180</v>
      </c>
      <c r="K22" s="14">
        <v>179</v>
      </c>
      <c r="L22" s="14">
        <v>189</v>
      </c>
      <c r="M22" s="14">
        <v>192</v>
      </c>
      <c r="N22" s="27"/>
    </row>
    <row r="23" spans="1:14" hidden="1" outlineLevel="1" x14ac:dyDescent="0.25">
      <c r="A23" s="13" t="s">
        <v>24</v>
      </c>
      <c r="B23" s="14">
        <v>418</v>
      </c>
      <c r="C23" s="14">
        <v>398</v>
      </c>
      <c r="D23" s="14">
        <v>678</v>
      </c>
      <c r="E23" s="14">
        <v>563</v>
      </c>
      <c r="F23" s="14">
        <v>563</v>
      </c>
      <c r="G23" s="14">
        <v>570</v>
      </c>
      <c r="H23" s="14">
        <v>684</v>
      </c>
      <c r="I23" s="14">
        <v>684</v>
      </c>
      <c r="J23" s="6">
        <v>2734</v>
      </c>
      <c r="K23" s="6">
        <v>2744</v>
      </c>
      <c r="L23" s="6">
        <v>3490</v>
      </c>
      <c r="M23" s="6">
        <v>3505</v>
      </c>
      <c r="N23" s="25">
        <v>3422</v>
      </c>
    </row>
    <row r="24" spans="1:14" ht="15.75" hidden="1" outlineLevel="1" thickBot="1" x14ac:dyDescent="0.3">
      <c r="A24" s="13" t="s">
        <v>25</v>
      </c>
      <c r="B24" s="14">
        <v>394</v>
      </c>
      <c r="C24" s="14">
        <v>411</v>
      </c>
      <c r="D24" s="14">
        <v>458</v>
      </c>
      <c r="E24" s="14">
        <v>117</v>
      </c>
      <c r="F24" s="14">
        <v>138</v>
      </c>
      <c r="G24" s="14">
        <v>212</v>
      </c>
      <c r="H24" s="14">
        <v>234</v>
      </c>
      <c r="I24" s="14">
        <v>663</v>
      </c>
      <c r="J24" s="14">
        <v>716</v>
      </c>
      <c r="K24" s="14">
        <v>719</v>
      </c>
      <c r="L24" s="14">
        <v>786</v>
      </c>
      <c r="M24" s="14">
        <v>841</v>
      </c>
      <c r="N24" s="27"/>
    </row>
    <row r="25" spans="1:14" hidden="1" outlineLevel="1" x14ac:dyDescent="0.25">
      <c r="A25" s="15" t="s">
        <v>26</v>
      </c>
      <c r="B25" s="10">
        <v>18376</v>
      </c>
      <c r="C25" s="10">
        <v>20000</v>
      </c>
      <c r="D25" s="10">
        <v>23361</v>
      </c>
      <c r="E25" s="10">
        <v>16176</v>
      </c>
      <c r="F25" s="10">
        <v>18094</v>
      </c>
      <c r="G25" s="10">
        <v>19920</v>
      </c>
      <c r="H25" s="10">
        <v>24090</v>
      </c>
      <c r="I25" s="10">
        <v>27965</v>
      </c>
      <c r="J25" s="10">
        <v>31088</v>
      </c>
      <c r="K25" s="10">
        <v>33435</v>
      </c>
      <c r="L25" s="10">
        <v>36608</v>
      </c>
      <c r="M25" s="10">
        <v>40189</v>
      </c>
      <c r="N25" s="26"/>
    </row>
    <row r="26" spans="1:14" hidden="1" outlineLevel="1" x14ac:dyDescent="0.25">
      <c r="A26" s="13" t="s">
        <v>27</v>
      </c>
      <c r="B26" s="6">
        <v>6230</v>
      </c>
      <c r="C26" s="6">
        <v>7073</v>
      </c>
      <c r="D26" s="6">
        <v>8057</v>
      </c>
      <c r="E26" s="6">
        <v>1069</v>
      </c>
      <c r="F26" s="6">
        <v>2201</v>
      </c>
      <c r="G26" s="6">
        <v>3396</v>
      </c>
      <c r="H26" s="6">
        <v>4716</v>
      </c>
      <c r="I26" s="6">
        <v>6252</v>
      </c>
      <c r="J26" s="6">
        <v>7790</v>
      </c>
      <c r="K26" s="6">
        <v>9204</v>
      </c>
      <c r="L26" s="6">
        <v>10757</v>
      </c>
      <c r="M26" s="6">
        <v>12368</v>
      </c>
      <c r="N26" s="27"/>
    </row>
    <row r="27" spans="1:14" collapsed="1" x14ac:dyDescent="0.25">
      <c r="A27" s="2" t="s">
        <v>3</v>
      </c>
      <c r="B27" s="4">
        <v>2062</v>
      </c>
      <c r="C27" s="4">
        <v>3117</v>
      </c>
      <c r="D27" s="4">
        <v>2700</v>
      </c>
      <c r="E27" s="4">
        <v>2560</v>
      </c>
      <c r="F27" s="4">
        <v>3730</v>
      </c>
      <c r="G27" s="4">
        <v>5508</v>
      </c>
      <c r="H27" s="4">
        <v>4136</v>
      </c>
      <c r="I27" s="4">
        <v>3256</v>
      </c>
      <c r="J27" s="4">
        <v>4011</v>
      </c>
      <c r="K27" s="4">
        <v>3226</v>
      </c>
      <c r="L27" s="4">
        <v>3003</v>
      </c>
      <c r="M27" s="4">
        <v>2861</v>
      </c>
      <c r="N27" s="25">
        <v>1387</v>
      </c>
    </row>
    <row r="28" spans="1:14" ht="15.75" thickBot="1" x14ac:dyDescent="0.3">
      <c r="A28" s="5" t="s">
        <v>4</v>
      </c>
      <c r="B28" s="6">
        <v>5981</v>
      </c>
      <c r="C28" s="6">
        <v>7284</v>
      </c>
      <c r="D28" s="6">
        <v>6943</v>
      </c>
      <c r="E28" s="6">
        <v>11748</v>
      </c>
      <c r="F28" s="6">
        <v>17581</v>
      </c>
      <c r="G28" s="6">
        <v>22053</v>
      </c>
      <c r="H28" s="6">
        <v>25043</v>
      </c>
      <c r="I28" s="6">
        <v>28663</v>
      </c>
      <c r="J28" s="6">
        <v>24871</v>
      </c>
      <c r="K28" s="6">
        <v>24841</v>
      </c>
      <c r="L28" s="6">
        <v>29415</v>
      </c>
      <c r="M28" s="6">
        <v>31114</v>
      </c>
      <c r="N28" s="25">
        <v>28409</v>
      </c>
    </row>
    <row r="29" spans="1:14" ht="15.75" thickBot="1" x14ac:dyDescent="0.3">
      <c r="A29" s="7" t="s">
        <v>28</v>
      </c>
      <c r="B29" s="8">
        <v>15146</v>
      </c>
      <c r="C29" s="8">
        <v>17526</v>
      </c>
      <c r="D29" s="8">
        <v>21006</v>
      </c>
      <c r="E29" s="8">
        <v>22237</v>
      </c>
      <c r="F29" s="8">
        <v>18694</v>
      </c>
      <c r="G29" s="8">
        <v>20156</v>
      </c>
      <c r="H29" s="8">
        <v>23185</v>
      </c>
      <c r="I29" s="8">
        <v>23678</v>
      </c>
      <c r="J29" s="8">
        <v>21580</v>
      </c>
      <c r="K29" s="8">
        <v>24898</v>
      </c>
      <c r="L29" s="8">
        <v>27561</v>
      </c>
      <c r="M29" s="8">
        <v>29959</v>
      </c>
      <c r="N29" s="28">
        <v>34784</v>
      </c>
    </row>
    <row r="30" spans="1:14" hidden="1" outlineLevel="1" x14ac:dyDescent="0.25">
      <c r="A30" s="12" t="s">
        <v>29</v>
      </c>
      <c r="B30" s="4">
        <v>7522</v>
      </c>
      <c r="C30" s="4">
        <v>8255</v>
      </c>
      <c r="D30" s="4">
        <v>8587</v>
      </c>
      <c r="E30" s="4">
        <v>9062</v>
      </c>
      <c r="F30" s="4">
        <v>8116</v>
      </c>
      <c r="G30" s="4">
        <v>7495</v>
      </c>
      <c r="H30" s="4">
        <v>7860</v>
      </c>
      <c r="I30" s="4">
        <v>8879</v>
      </c>
      <c r="J30" s="4">
        <v>10397</v>
      </c>
      <c r="K30" s="4">
        <v>10864</v>
      </c>
      <c r="L30" s="4">
        <v>11771</v>
      </c>
      <c r="M30" s="4">
        <v>14153</v>
      </c>
      <c r="N30" s="25">
        <v>17775</v>
      </c>
    </row>
    <row r="31" spans="1:14" hidden="1" outlineLevel="1" x14ac:dyDescent="0.25">
      <c r="A31" s="12" t="s">
        <v>30</v>
      </c>
      <c r="B31" s="4">
        <v>1396</v>
      </c>
      <c r="C31" s="4">
        <v>2439</v>
      </c>
      <c r="D31" s="4">
        <v>1982</v>
      </c>
      <c r="E31" s="4">
        <v>1917</v>
      </c>
      <c r="F31" s="4">
        <v>2474</v>
      </c>
      <c r="G31" s="4">
        <v>2682</v>
      </c>
      <c r="H31" s="4">
        <v>4035</v>
      </c>
      <c r="I31" s="4">
        <v>2562</v>
      </c>
      <c r="J31" s="4">
        <v>2502</v>
      </c>
      <c r="K31" s="4">
        <v>2462</v>
      </c>
      <c r="L31" s="4">
        <v>2956</v>
      </c>
      <c r="M31" s="4">
        <v>4026</v>
      </c>
      <c r="N31" s="25">
        <v>5825</v>
      </c>
    </row>
    <row r="32" spans="1:14" hidden="1" outlineLevel="1" x14ac:dyDescent="0.25">
      <c r="A32" s="12" t="s">
        <v>31</v>
      </c>
      <c r="B32" s="4">
        <v>3828</v>
      </c>
      <c r="C32" s="4">
        <v>3490</v>
      </c>
      <c r="D32" s="4">
        <v>7896</v>
      </c>
      <c r="E32" s="4">
        <v>6063</v>
      </c>
      <c r="F32" s="4">
        <v>2967</v>
      </c>
      <c r="G32" s="4">
        <v>2900</v>
      </c>
      <c r="H32" s="4">
        <v>4152</v>
      </c>
      <c r="I32" s="4">
        <v>7277</v>
      </c>
      <c r="J32" s="4">
        <v>4659</v>
      </c>
      <c r="K32" s="4">
        <v>4654</v>
      </c>
      <c r="L32" s="4">
        <v>4880</v>
      </c>
      <c r="M32" s="4">
        <v>7218</v>
      </c>
      <c r="N32" s="25">
        <v>5732</v>
      </c>
    </row>
    <row r="33" spans="1:14" hidden="1" outlineLevel="1" x14ac:dyDescent="0.25">
      <c r="A33" s="12" t="s">
        <v>32</v>
      </c>
      <c r="B33" s="3">
        <v>65</v>
      </c>
      <c r="C33" s="3">
        <v>107</v>
      </c>
      <c r="D33" s="3">
        <v>150</v>
      </c>
      <c r="E33" s="3">
        <v>14</v>
      </c>
      <c r="F33" s="3">
        <v>7</v>
      </c>
      <c r="G33" s="3">
        <v>74</v>
      </c>
      <c r="H33" s="3">
        <v>67</v>
      </c>
      <c r="I33" s="3">
        <v>6</v>
      </c>
      <c r="J33" s="3">
        <v>7</v>
      </c>
      <c r="K33" s="3">
        <v>11</v>
      </c>
      <c r="L33" s="3">
        <v>13</v>
      </c>
      <c r="M33" s="3">
        <v>31</v>
      </c>
      <c r="N33" s="25">
        <v>1111</v>
      </c>
    </row>
    <row r="34" spans="1:14" ht="15.75" hidden="1" outlineLevel="1" thickBot="1" x14ac:dyDescent="0.3">
      <c r="A34" s="12" t="s">
        <v>33</v>
      </c>
      <c r="B34" s="4">
        <v>2335</v>
      </c>
      <c r="C34" s="4">
        <v>3234</v>
      </c>
      <c r="D34" s="4">
        <v>2391</v>
      </c>
      <c r="E34" s="4">
        <v>5180</v>
      </c>
      <c r="F34" s="4">
        <v>5129</v>
      </c>
      <c r="G34" s="4">
        <v>7004</v>
      </c>
      <c r="H34" s="4">
        <v>7071</v>
      </c>
      <c r="I34" s="4">
        <v>4952</v>
      </c>
      <c r="J34" s="4">
        <v>4015</v>
      </c>
      <c r="K34" s="4">
        <v>6906</v>
      </c>
      <c r="L34" s="4">
        <v>7941</v>
      </c>
      <c r="M34" s="4">
        <v>4531</v>
      </c>
      <c r="N34" s="25">
        <v>4341</v>
      </c>
    </row>
    <row r="35" spans="1:14" collapsed="1" x14ac:dyDescent="0.25">
      <c r="A35" s="46" t="s">
        <v>5</v>
      </c>
      <c r="B35" s="47">
        <v>35329</v>
      </c>
      <c r="C35" s="47">
        <v>40848</v>
      </c>
      <c r="D35" s="47">
        <v>45952</v>
      </c>
      <c r="E35" s="47">
        <v>51651</v>
      </c>
      <c r="F35" s="47">
        <v>55898</v>
      </c>
      <c r="G35" s="47">
        <v>64241</v>
      </c>
      <c r="H35" s="47">
        <v>71739</v>
      </c>
      <c r="I35" s="47">
        <v>77311</v>
      </c>
      <c r="J35" s="47">
        <v>73761</v>
      </c>
      <c r="K35" s="47">
        <v>77196</v>
      </c>
      <c r="L35" s="47">
        <v>85831</v>
      </c>
      <c r="M35" s="47">
        <v>91754</v>
      </c>
      <c r="N35" s="47">
        <v>94071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60E29-0311-489B-80E3-DE5B28A18B67}">
  <dimension ref="A1:M29"/>
  <sheetViews>
    <sheetView workbookViewId="0">
      <selection activeCell="E35" sqref="E35"/>
    </sheetView>
  </sheetViews>
  <sheetFormatPr defaultRowHeight="15" outlineLevelRow="1" x14ac:dyDescent="0.25"/>
  <cols>
    <col min="1" max="1" width="36.85546875" bestFit="1" customWidth="1"/>
    <col min="2" max="4" width="9.7109375" bestFit="1" customWidth="1"/>
    <col min="5" max="5" width="10.42578125" bestFit="1" customWidth="1"/>
    <col min="6" max="9" width="9.7109375" bestFit="1" customWidth="1"/>
    <col min="10" max="13" width="10.5703125" bestFit="1" customWidth="1"/>
  </cols>
  <sheetData>
    <row r="1" spans="1:13" ht="15.75" thickBot="1" x14ac:dyDescent="0.3">
      <c r="A1" s="44"/>
      <c r="B1" s="45">
        <v>41334</v>
      </c>
      <c r="C1" s="45">
        <v>41699</v>
      </c>
      <c r="D1" s="45">
        <v>42064</v>
      </c>
      <c r="E1" s="45">
        <v>42430</v>
      </c>
      <c r="F1" s="45">
        <v>42795</v>
      </c>
      <c r="G1" s="45">
        <v>43160</v>
      </c>
      <c r="H1" s="45">
        <v>43525</v>
      </c>
      <c r="I1" s="45">
        <v>43891</v>
      </c>
      <c r="J1" s="45">
        <v>44256</v>
      </c>
      <c r="K1" s="45">
        <v>44621</v>
      </c>
      <c r="L1" s="45">
        <v>44986</v>
      </c>
      <c r="M1" s="45">
        <v>45352</v>
      </c>
    </row>
    <row r="2" spans="1:13" ht="15.75" thickBot="1" x14ac:dyDescent="0.3">
      <c r="A2" s="7" t="s">
        <v>34</v>
      </c>
      <c r="B2" s="8">
        <v>7102</v>
      </c>
      <c r="C2" s="8">
        <v>7344</v>
      </c>
      <c r="D2" s="8">
        <v>9843</v>
      </c>
      <c r="E2" s="8">
        <v>9799</v>
      </c>
      <c r="F2" s="8">
        <v>10627</v>
      </c>
      <c r="G2" s="8">
        <v>13169</v>
      </c>
      <c r="H2" s="8">
        <v>12583</v>
      </c>
      <c r="I2" s="8">
        <v>14690</v>
      </c>
      <c r="J2" s="8">
        <v>12527</v>
      </c>
      <c r="K2" s="8">
        <v>15776</v>
      </c>
      <c r="L2" s="8">
        <v>18878</v>
      </c>
      <c r="M2" s="8">
        <v>17179</v>
      </c>
    </row>
    <row r="3" spans="1:13" hidden="1" outlineLevel="1" x14ac:dyDescent="0.25">
      <c r="A3" s="17" t="s">
        <v>35</v>
      </c>
      <c r="B3" s="8">
        <v>11218</v>
      </c>
      <c r="C3" s="8">
        <v>13172</v>
      </c>
      <c r="D3" s="8">
        <v>14261</v>
      </c>
      <c r="E3" s="8">
        <v>15154</v>
      </c>
      <c r="F3" s="8">
        <v>16075</v>
      </c>
      <c r="G3" s="8">
        <v>17433</v>
      </c>
      <c r="H3" s="8">
        <v>18862</v>
      </c>
      <c r="I3" s="8">
        <v>19416</v>
      </c>
      <c r="J3" s="8">
        <v>17326</v>
      </c>
      <c r="K3" s="8">
        <v>20857</v>
      </c>
      <c r="L3" s="8">
        <v>26052</v>
      </c>
      <c r="M3" s="8">
        <v>26635</v>
      </c>
    </row>
    <row r="4" spans="1:13" hidden="1" outlineLevel="1" x14ac:dyDescent="0.25">
      <c r="A4" s="12" t="s">
        <v>36</v>
      </c>
      <c r="B4" s="3">
        <v>-446</v>
      </c>
      <c r="C4" s="4">
        <v>-1546</v>
      </c>
      <c r="D4" s="3">
        <v>558</v>
      </c>
      <c r="E4" s="3">
        <v>-207</v>
      </c>
      <c r="F4" s="3">
        <v>-870</v>
      </c>
      <c r="G4" s="3">
        <v>-964</v>
      </c>
      <c r="H4" s="3">
        <v>-755</v>
      </c>
      <c r="I4" s="4">
        <v>1411</v>
      </c>
      <c r="J4" s="3">
        <v>-66</v>
      </c>
      <c r="K4" s="3">
        <v>-732</v>
      </c>
      <c r="L4" s="3">
        <v>-884</v>
      </c>
      <c r="M4" s="3">
        <v>-934</v>
      </c>
    </row>
    <row r="5" spans="1:13" hidden="1" outlineLevel="1" x14ac:dyDescent="0.25">
      <c r="A5" s="12" t="s">
        <v>37</v>
      </c>
      <c r="B5" s="3">
        <v>-985</v>
      </c>
      <c r="C5" s="3">
        <v>-755</v>
      </c>
      <c r="D5" s="3">
        <v>-505</v>
      </c>
      <c r="E5" s="3">
        <v>-693</v>
      </c>
      <c r="F5" s="3">
        <v>593</v>
      </c>
      <c r="G5" s="3">
        <v>602</v>
      </c>
      <c r="H5" s="3">
        <v>-359</v>
      </c>
      <c r="I5" s="3">
        <v>-508</v>
      </c>
      <c r="J5" s="4">
        <v>-1460</v>
      </c>
      <c r="K5" s="3">
        <v>-466</v>
      </c>
      <c r="L5" s="4">
        <v>-1098</v>
      </c>
      <c r="M5" s="4">
        <v>-2545</v>
      </c>
    </row>
    <row r="6" spans="1:13" hidden="1" outlineLevel="1" x14ac:dyDescent="0.25">
      <c r="A6" s="12" t="s">
        <v>38</v>
      </c>
      <c r="B6" s="3">
        <v>0</v>
      </c>
      <c r="C6" s="3">
        <v>456</v>
      </c>
      <c r="D6" s="3">
        <v>-23</v>
      </c>
      <c r="E6" s="3">
        <v>622</v>
      </c>
      <c r="F6" s="3">
        <v>321</v>
      </c>
      <c r="G6" s="4">
        <v>2098</v>
      </c>
      <c r="H6" s="3">
        <v>639</v>
      </c>
      <c r="I6" s="3">
        <v>-607</v>
      </c>
      <c r="J6" s="4">
        <v>1112</v>
      </c>
      <c r="K6" s="4">
        <v>1099</v>
      </c>
      <c r="L6" s="4">
        <v>1058</v>
      </c>
      <c r="M6" s="3">
        <v>141</v>
      </c>
    </row>
    <row r="7" spans="1:13" ht="15.75" hidden="1" outlineLevel="1" thickBot="1" x14ac:dyDescent="0.3">
      <c r="A7" s="12" t="s">
        <v>39</v>
      </c>
      <c r="B7" s="3">
        <v>331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hidden="1" outlineLevel="1" x14ac:dyDescent="0.25">
      <c r="A8" s="17" t="s">
        <v>40</v>
      </c>
      <c r="B8" s="8">
        <v>-1101</v>
      </c>
      <c r="C8" s="8">
        <v>-1844</v>
      </c>
      <c r="D8" s="11">
        <v>31</v>
      </c>
      <c r="E8" s="11">
        <v>-277</v>
      </c>
      <c r="F8" s="11">
        <v>44</v>
      </c>
      <c r="G8" s="8">
        <v>1736</v>
      </c>
      <c r="H8" s="11">
        <v>-476</v>
      </c>
      <c r="I8" s="11">
        <v>296</v>
      </c>
      <c r="J8" s="11">
        <v>-413</v>
      </c>
      <c r="K8" s="11">
        <v>-100</v>
      </c>
      <c r="L8" s="11">
        <v>-924</v>
      </c>
      <c r="M8" s="8">
        <v>-3337</v>
      </c>
    </row>
    <row r="9" spans="1:13" ht="15.75" hidden="1" outlineLevel="1" thickBot="1" x14ac:dyDescent="0.3">
      <c r="A9" s="12" t="s">
        <v>41</v>
      </c>
      <c r="B9" s="4">
        <v>-3015</v>
      </c>
      <c r="C9" s="4">
        <v>-3984</v>
      </c>
      <c r="D9" s="4">
        <v>-4449</v>
      </c>
      <c r="E9" s="4">
        <v>-5078</v>
      </c>
      <c r="F9" s="4">
        <v>-5492</v>
      </c>
      <c r="G9" s="4">
        <v>-6000</v>
      </c>
      <c r="H9" s="4">
        <v>-5803</v>
      </c>
      <c r="I9" s="4">
        <v>-5023</v>
      </c>
      <c r="J9" s="4">
        <v>-4387</v>
      </c>
      <c r="K9" s="4">
        <v>-4982</v>
      </c>
      <c r="L9" s="4">
        <v>-6250</v>
      </c>
      <c r="M9" s="4">
        <v>-6120</v>
      </c>
    </row>
    <row r="10" spans="1:13" ht="15.75" collapsed="1" thickBot="1" x14ac:dyDescent="0.3">
      <c r="A10" s="9" t="s">
        <v>42</v>
      </c>
      <c r="B10" s="10">
        <v>-3881</v>
      </c>
      <c r="C10" s="10">
        <v>-3254</v>
      </c>
      <c r="D10" s="10">
        <v>-5275</v>
      </c>
      <c r="E10" s="10">
        <v>-3921</v>
      </c>
      <c r="F10" s="10">
        <v>-3251</v>
      </c>
      <c r="G10" s="10">
        <v>-7114</v>
      </c>
      <c r="H10" s="10">
        <v>-5546</v>
      </c>
      <c r="I10" s="10">
        <v>-6174</v>
      </c>
      <c r="J10" s="10">
        <v>5740</v>
      </c>
      <c r="K10" s="10">
        <v>-2238</v>
      </c>
      <c r="L10" s="10">
        <v>-5732</v>
      </c>
      <c r="M10" s="10">
        <v>1563</v>
      </c>
    </row>
    <row r="11" spans="1:13" hidden="1" outlineLevel="1" x14ac:dyDescent="0.25">
      <c r="A11" s="13" t="s">
        <v>43</v>
      </c>
      <c r="B11" s="6">
        <v>-2644</v>
      </c>
      <c r="C11" s="6">
        <v>-2887</v>
      </c>
      <c r="D11" s="6">
        <v>-3300</v>
      </c>
      <c r="E11" s="6">
        <v>-2348</v>
      </c>
      <c r="F11" s="6">
        <v>-3122</v>
      </c>
      <c r="G11" s="6">
        <v>-2878</v>
      </c>
      <c r="H11" s="6">
        <v>-3169</v>
      </c>
      <c r="I11" s="6">
        <v>-2441</v>
      </c>
      <c r="J11" s="6">
        <v>-1837</v>
      </c>
      <c r="K11" s="6">
        <v>-2142</v>
      </c>
      <c r="L11" s="6">
        <v>-2743</v>
      </c>
      <c r="M11" s="6">
        <v>-3563</v>
      </c>
    </row>
    <row r="12" spans="1:13" hidden="1" outlineLevel="1" x14ac:dyDescent="0.25">
      <c r="A12" s="13" t="s">
        <v>44</v>
      </c>
      <c r="B12" s="14">
        <v>10</v>
      </c>
      <c r="C12" s="14">
        <v>38</v>
      </c>
      <c r="D12" s="14">
        <v>9</v>
      </c>
      <c r="E12" s="14">
        <v>8</v>
      </c>
      <c r="F12" s="14">
        <v>50</v>
      </c>
      <c r="G12" s="14">
        <v>80</v>
      </c>
      <c r="H12" s="14">
        <v>28</v>
      </c>
      <c r="I12" s="14">
        <v>27</v>
      </c>
      <c r="J12" s="14">
        <v>3</v>
      </c>
      <c r="K12" s="14">
        <v>133</v>
      </c>
      <c r="L12" s="14">
        <v>49</v>
      </c>
      <c r="M12" s="14">
        <v>107</v>
      </c>
    </row>
    <row r="13" spans="1:13" hidden="1" outlineLevel="1" x14ac:dyDescent="0.25">
      <c r="A13" s="13" t="s">
        <v>45</v>
      </c>
      <c r="B13" s="6">
        <v>-75713</v>
      </c>
      <c r="C13" s="6">
        <v>-94242</v>
      </c>
      <c r="D13" s="6">
        <v>-98742</v>
      </c>
      <c r="E13" s="6">
        <v>-154081</v>
      </c>
      <c r="F13" s="6">
        <v>-85683</v>
      </c>
      <c r="G13" s="6">
        <v>-98330</v>
      </c>
      <c r="H13" s="6">
        <v>-94187</v>
      </c>
      <c r="I13" s="6">
        <v>-79835</v>
      </c>
      <c r="J13" s="6">
        <v>-57553</v>
      </c>
      <c r="K13" s="6">
        <v>-69776</v>
      </c>
      <c r="L13" s="6">
        <v>-80932</v>
      </c>
      <c r="M13" s="6">
        <v>-75107</v>
      </c>
    </row>
    <row r="14" spans="1:13" hidden="1" outlineLevel="1" x14ac:dyDescent="0.25">
      <c r="A14" s="13" t="s">
        <v>46</v>
      </c>
      <c r="B14" s="6">
        <v>75152</v>
      </c>
      <c r="C14" s="6">
        <v>93293</v>
      </c>
      <c r="D14" s="6">
        <v>99658</v>
      </c>
      <c r="E14" s="6">
        <v>150651</v>
      </c>
      <c r="F14" s="6">
        <v>81034</v>
      </c>
      <c r="G14" s="6">
        <v>95017</v>
      </c>
      <c r="H14" s="6">
        <v>92454</v>
      </c>
      <c r="I14" s="6">
        <v>75835</v>
      </c>
      <c r="J14" s="6">
        <v>62797</v>
      </c>
      <c r="K14" s="6">
        <v>70992</v>
      </c>
      <c r="L14" s="6">
        <v>77230</v>
      </c>
      <c r="M14" s="6">
        <v>77830</v>
      </c>
    </row>
    <row r="15" spans="1:13" hidden="1" outlineLevel="1" x14ac:dyDescent="0.25">
      <c r="A15" s="13" t="s">
        <v>47</v>
      </c>
      <c r="B15" s="14">
        <v>265</v>
      </c>
      <c r="C15" s="14">
        <v>374</v>
      </c>
      <c r="D15" s="14">
        <v>559</v>
      </c>
      <c r="E15" s="14">
        <v>741</v>
      </c>
      <c r="F15" s="14">
        <v>756</v>
      </c>
      <c r="G15" s="14">
        <v>736</v>
      </c>
      <c r="H15" s="6">
        <v>1184</v>
      </c>
      <c r="I15" s="6">
        <v>1513</v>
      </c>
      <c r="J15" s="6">
        <v>1275</v>
      </c>
      <c r="K15" s="6">
        <v>1035</v>
      </c>
      <c r="L15" s="6">
        <v>1324</v>
      </c>
      <c r="M15" s="6">
        <v>1138</v>
      </c>
    </row>
    <row r="16" spans="1:13" hidden="1" outlineLevel="1" x14ac:dyDescent="0.25">
      <c r="A16" s="13" t="s">
        <v>48</v>
      </c>
      <c r="B16" s="14">
        <v>249</v>
      </c>
      <c r="C16" s="14">
        <v>192</v>
      </c>
      <c r="D16" s="14">
        <v>268</v>
      </c>
      <c r="E16" s="14">
        <v>64</v>
      </c>
      <c r="F16" s="14">
        <v>4</v>
      </c>
      <c r="G16" s="14">
        <v>13</v>
      </c>
      <c r="H16" s="14">
        <v>13</v>
      </c>
      <c r="I16" s="14">
        <v>17</v>
      </c>
      <c r="J16" s="14">
        <v>7</v>
      </c>
      <c r="K16" s="14">
        <v>16</v>
      </c>
      <c r="L16" s="14">
        <v>19</v>
      </c>
      <c r="M16" s="14">
        <v>36</v>
      </c>
    </row>
    <row r="17" spans="1:13" hidden="1" outlineLevel="1" x14ac:dyDescent="0.25">
      <c r="A17" s="13" t="s">
        <v>49</v>
      </c>
      <c r="B17" s="14">
        <v>0</v>
      </c>
      <c r="C17" s="14">
        <v>0</v>
      </c>
      <c r="D17" s="14">
        <v>0</v>
      </c>
      <c r="E17" s="14">
        <v>-8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0</v>
      </c>
      <c r="L17" s="14">
        <v>0</v>
      </c>
      <c r="M17" s="14">
        <v>0</v>
      </c>
    </row>
    <row r="18" spans="1:13" hidden="1" outlineLevel="1" x14ac:dyDescent="0.25">
      <c r="A18" s="13" t="s">
        <v>50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-2</v>
      </c>
      <c r="K18" s="14">
        <v>-2</v>
      </c>
      <c r="L18" s="14">
        <v>-2</v>
      </c>
      <c r="M18" s="14">
        <v>-65</v>
      </c>
    </row>
    <row r="19" spans="1:13" hidden="1" outlineLevel="1" x14ac:dyDescent="0.25">
      <c r="A19" s="13" t="s">
        <v>51</v>
      </c>
      <c r="B19" s="14">
        <v>0</v>
      </c>
      <c r="C19" s="14">
        <v>0</v>
      </c>
      <c r="D19" s="14">
        <v>0</v>
      </c>
      <c r="E19" s="14">
        <v>0</v>
      </c>
      <c r="F19" s="14">
        <v>129</v>
      </c>
      <c r="G19" s="14">
        <v>18</v>
      </c>
      <c r="H19" s="14">
        <v>18</v>
      </c>
      <c r="I19" s="14">
        <v>0</v>
      </c>
      <c r="J19" s="14">
        <v>0</v>
      </c>
      <c r="K19" s="14">
        <v>0</v>
      </c>
      <c r="L19" s="14">
        <v>56</v>
      </c>
      <c r="M19" s="14">
        <v>0</v>
      </c>
    </row>
    <row r="20" spans="1:13" ht="15.75" hidden="1" outlineLevel="1" thickBot="1" x14ac:dyDescent="0.3">
      <c r="A20" s="13" t="s">
        <v>52</v>
      </c>
      <c r="B20" s="6">
        <v>-1200</v>
      </c>
      <c r="C20" s="14">
        <v>-21</v>
      </c>
      <c r="D20" s="6">
        <v>-3728</v>
      </c>
      <c r="E20" s="6">
        <v>1052</v>
      </c>
      <c r="F20" s="6">
        <v>3579</v>
      </c>
      <c r="G20" s="6">
        <v>-1769</v>
      </c>
      <c r="H20" s="6">
        <v>-1887</v>
      </c>
      <c r="I20" s="6">
        <v>-1290</v>
      </c>
      <c r="J20" s="6">
        <v>1051</v>
      </c>
      <c r="K20" s="6">
        <v>-2494</v>
      </c>
      <c r="L20" s="14">
        <v>-733</v>
      </c>
      <c r="M20" s="6">
        <v>1187</v>
      </c>
    </row>
    <row r="21" spans="1:13" ht="15.75" collapsed="1" thickBot="1" x14ac:dyDescent="0.3">
      <c r="A21" s="7" t="s">
        <v>53</v>
      </c>
      <c r="B21" s="8">
        <v>-3310</v>
      </c>
      <c r="C21" s="8">
        <v>-4122</v>
      </c>
      <c r="D21" s="8">
        <v>-4661</v>
      </c>
      <c r="E21" s="8">
        <v>-5613</v>
      </c>
      <c r="F21" s="8">
        <v>-7301</v>
      </c>
      <c r="G21" s="8">
        <v>-6221</v>
      </c>
      <c r="H21" s="8">
        <v>-6869</v>
      </c>
      <c r="I21" s="8">
        <v>-8181</v>
      </c>
      <c r="J21" s="8">
        <v>-18634</v>
      </c>
      <c r="K21" s="8">
        <v>-13580</v>
      </c>
      <c r="L21" s="8">
        <v>-13006</v>
      </c>
      <c r="M21" s="8">
        <v>-18551</v>
      </c>
    </row>
    <row r="22" spans="1:13" hidden="1" outlineLevel="1" x14ac:dyDescent="0.25">
      <c r="A22" s="12" t="s">
        <v>54</v>
      </c>
      <c r="B22" s="3">
        <v>922</v>
      </c>
      <c r="C22" s="3">
        <v>691</v>
      </c>
      <c r="D22" s="3">
        <v>979</v>
      </c>
      <c r="E22" s="3">
        <v>532</v>
      </c>
      <c r="F22" s="4">
        <v>1067</v>
      </c>
      <c r="G22" s="3">
        <v>913</v>
      </c>
      <c r="H22" s="3">
        <v>969</v>
      </c>
      <c r="I22" s="3">
        <v>625</v>
      </c>
      <c r="J22" s="3">
        <v>291</v>
      </c>
      <c r="K22" s="3">
        <v>292</v>
      </c>
      <c r="L22" s="4">
        <v>2477</v>
      </c>
      <c r="M22" s="4">
        <v>1443</v>
      </c>
    </row>
    <row r="23" spans="1:13" hidden="1" outlineLevel="1" x14ac:dyDescent="0.25">
      <c r="A23" s="12" t="s">
        <v>55</v>
      </c>
      <c r="B23" s="3">
        <v>-2</v>
      </c>
      <c r="C23" s="3">
        <v>156</v>
      </c>
      <c r="D23" s="3">
        <v>7</v>
      </c>
      <c r="E23" s="3">
        <v>0</v>
      </c>
      <c r="F23" s="3">
        <v>0</v>
      </c>
      <c r="G23" s="3">
        <v>11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8</v>
      </c>
    </row>
    <row r="24" spans="1:13" hidden="1" outlineLevel="1" x14ac:dyDescent="0.25">
      <c r="A24" s="12" t="s">
        <v>56</v>
      </c>
      <c r="B24" s="3">
        <v>-12</v>
      </c>
      <c r="C24" s="3">
        <v>-15</v>
      </c>
      <c r="D24" s="3">
        <v>-20</v>
      </c>
      <c r="E24" s="3">
        <v>-13</v>
      </c>
      <c r="F24" s="3">
        <v>-13</v>
      </c>
      <c r="G24" s="3">
        <v>-8</v>
      </c>
      <c r="H24" s="3">
        <v>-18</v>
      </c>
      <c r="I24" s="3">
        <v>-3</v>
      </c>
      <c r="J24" s="3">
        <v>-2</v>
      </c>
      <c r="K24" s="3">
        <v>-1</v>
      </c>
      <c r="L24" s="3">
        <v>-1</v>
      </c>
      <c r="M24" s="3">
        <v>-2</v>
      </c>
    </row>
    <row r="25" spans="1:13" hidden="1" outlineLevel="1" x14ac:dyDescent="0.25">
      <c r="A25" s="12" t="s">
        <v>57</v>
      </c>
      <c r="B25" s="3">
        <v>-71</v>
      </c>
      <c r="C25" s="3">
        <v>-48</v>
      </c>
      <c r="D25" s="3">
        <v>-16</v>
      </c>
      <c r="E25" s="3">
        <v>-28</v>
      </c>
      <c r="F25" s="3">
        <v>-25</v>
      </c>
      <c r="G25" s="3">
        <v>-49</v>
      </c>
      <c r="H25" s="3">
        <v>-98</v>
      </c>
      <c r="I25" s="3">
        <v>-44</v>
      </c>
      <c r="J25" s="3">
        <v>-41</v>
      </c>
      <c r="K25" s="3">
        <v>-40</v>
      </c>
      <c r="L25" s="3">
        <v>-41</v>
      </c>
      <c r="M25" s="3">
        <v>-46</v>
      </c>
    </row>
    <row r="26" spans="1:13" hidden="1" outlineLevel="1" x14ac:dyDescent="0.25">
      <c r="A26" s="12" t="s">
        <v>58</v>
      </c>
      <c r="B26" s="4">
        <v>-3592</v>
      </c>
      <c r="C26" s="4">
        <v>-4239</v>
      </c>
      <c r="D26" s="4">
        <v>-4876</v>
      </c>
      <c r="E26" s="4">
        <v>-5133</v>
      </c>
      <c r="F26" s="4">
        <v>-6994</v>
      </c>
      <c r="G26" s="4">
        <v>-5952</v>
      </c>
      <c r="H26" s="4">
        <v>-6519</v>
      </c>
      <c r="I26" s="4">
        <v>-7302</v>
      </c>
      <c r="J26" s="4">
        <v>-18881</v>
      </c>
      <c r="K26" s="4">
        <v>-13788</v>
      </c>
      <c r="L26" s="4">
        <v>-15418</v>
      </c>
      <c r="M26" s="4">
        <v>-19899</v>
      </c>
    </row>
    <row r="27" spans="1:13" hidden="1" outlineLevel="1" x14ac:dyDescent="0.25">
      <c r="A27" s="12" t="s">
        <v>59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-49</v>
      </c>
      <c r="J27" s="3">
        <v>-55</v>
      </c>
      <c r="K27" s="3">
        <v>-59</v>
      </c>
      <c r="L27" s="3">
        <v>-59</v>
      </c>
      <c r="M27" s="3">
        <v>-67</v>
      </c>
    </row>
    <row r="28" spans="1:13" ht="15.75" hidden="1" outlineLevel="1" thickBot="1" x14ac:dyDescent="0.3">
      <c r="A28" s="12" t="s">
        <v>60</v>
      </c>
      <c r="B28" s="3">
        <v>-556</v>
      </c>
      <c r="C28" s="3">
        <v>-667</v>
      </c>
      <c r="D28" s="3">
        <v>-734</v>
      </c>
      <c r="E28" s="3">
        <v>-971</v>
      </c>
      <c r="F28" s="4">
        <v>-1335</v>
      </c>
      <c r="G28" s="4">
        <v>-1136</v>
      </c>
      <c r="H28" s="4">
        <v>-1203</v>
      </c>
      <c r="I28" s="4">
        <v>-1409</v>
      </c>
      <c r="J28" s="3">
        <v>55</v>
      </c>
      <c r="K28" s="3">
        <v>15</v>
      </c>
      <c r="L28" s="3">
        <v>35</v>
      </c>
      <c r="M28" s="3">
        <v>12</v>
      </c>
    </row>
    <row r="29" spans="1:13" collapsed="1" x14ac:dyDescent="0.25">
      <c r="A29" s="9" t="s">
        <v>61</v>
      </c>
      <c r="B29" s="16">
        <v>-90</v>
      </c>
      <c r="C29" s="16">
        <v>-32</v>
      </c>
      <c r="D29" s="16">
        <v>-93</v>
      </c>
      <c r="E29" s="16">
        <v>266</v>
      </c>
      <c r="F29" s="16">
        <v>75</v>
      </c>
      <c r="G29" s="16">
        <v>-166</v>
      </c>
      <c r="H29" s="16">
        <v>169</v>
      </c>
      <c r="I29" s="16">
        <v>334</v>
      </c>
      <c r="J29" s="16">
        <v>-367</v>
      </c>
      <c r="K29" s="16">
        <v>-43</v>
      </c>
      <c r="L29" s="16">
        <v>139</v>
      </c>
      <c r="M29" s="16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3880E-75DF-4886-B826-B819FA96C9CF}">
  <dimension ref="A1:N27"/>
  <sheetViews>
    <sheetView tabSelected="1" workbookViewId="0">
      <selection sqref="A1:N1"/>
    </sheetView>
  </sheetViews>
  <sheetFormatPr defaultRowHeight="15" outlineLevelRow="1" x14ac:dyDescent="0.25"/>
  <cols>
    <col min="1" max="1" width="22" bestFit="1" customWidth="1"/>
    <col min="2" max="14" width="9.7109375" bestFit="1" customWidth="1"/>
  </cols>
  <sheetData>
    <row r="1" spans="1:14" ht="15.75" thickBot="1" x14ac:dyDescent="0.3">
      <c r="A1" s="44"/>
      <c r="B1" s="45">
        <v>41334</v>
      </c>
      <c r="C1" s="45">
        <v>41699</v>
      </c>
      <c r="D1" s="45">
        <v>42064</v>
      </c>
      <c r="E1" s="45">
        <v>42430</v>
      </c>
      <c r="F1" s="45">
        <v>42795</v>
      </c>
      <c r="G1" s="45">
        <v>43160</v>
      </c>
      <c r="H1" s="45">
        <v>43525</v>
      </c>
      <c r="I1" s="45">
        <v>43891</v>
      </c>
      <c r="J1" s="45">
        <v>44256</v>
      </c>
      <c r="K1" s="45">
        <v>44621</v>
      </c>
      <c r="L1" s="45">
        <v>44986</v>
      </c>
      <c r="M1" s="45">
        <v>45352</v>
      </c>
      <c r="N1" s="48" t="s">
        <v>62</v>
      </c>
    </row>
    <row r="2" spans="1:14" ht="15.75" thickBot="1" x14ac:dyDescent="0.3">
      <c r="A2" s="7" t="s">
        <v>63</v>
      </c>
      <c r="B2" s="8">
        <v>31618</v>
      </c>
      <c r="C2" s="8">
        <v>35306</v>
      </c>
      <c r="D2" s="8">
        <v>38817</v>
      </c>
      <c r="E2" s="8">
        <v>39192</v>
      </c>
      <c r="F2" s="8">
        <v>42768</v>
      </c>
      <c r="G2" s="8">
        <v>43449</v>
      </c>
      <c r="H2" s="8">
        <v>48340</v>
      </c>
      <c r="I2" s="8">
        <v>49388</v>
      </c>
      <c r="J2" s="8">
        <v>49257</v>
      </c>
      <c r="K2" s="8">
        <v>60645</v>
      </c>
      <c r="L2" s="8">
        <v>70919</v>
      </c>
      <c r="M2" s="8">
        <v>70866</v>
      </c>
      <c r="N2" s="28">
        <v>75161</v>
      </c>
    </row>
    <row r="3" spans="1:14" ht="15.75" hidden="1" outlineLevel="1" thickBot="1" x14ac:dyDescent="0.3">
      <c r="A3" s="12" t="s">
        <v>64</v>
      </c>
      <c r="B3" s="18">
        <v>0.19239999999999999</v>
      </c>
      <c r="C3" s="18">
        <v>0.1166</v>
      </c>
      <c r="D3" s="18">
        <v>9.9400000000000002E-2</v>
      </c>
      <c r="E3" s="18">
        <v>9.7000000000000003E-3</v>
      </c>
      <c r="F3" s="18">
        <v>9.1200000000000003E-2</v>
      </c>
      <c r="G3" s="18">
        <v>1.5900000000000001E-2</v>
      </c>
      <c r="H3" s="18">
        <v>0.11260000000000001</v>
      </c>
      <c r="I3" s="18">
        <v>2.1700000000000001E-2</v>
      </c>
      <c r="J3" s="18">
        <v>-2.5999999999999999E-3</v>
      </c>
      <c r="K3" s="18">
        <v>0.23119999999999999</v>
      </c>
      <c r="L3" s="18">
        <v>0.1694</v>
      </c>
      <c r="M3" s="18">
        <v>-6.9999999999999999E-4</v>
      </c>
      <c r="N3" s="27"/>
    </row>
    <row r="4" spans="1:14" ht="15.75" collapsed="1" thickBot="1" x14ac:dyDescent="0.3">
      <c r="A4" s="9" t="s">
        <v>84</v>
      </c>
      <c r="B4" s="10">
        <v>20398</v>
      </c>
      <c r="C4" s="10">
        <v>22227</v>
      </c>
      <c r="D4" s="10">
        <v>24566</v>
      </c>
      <c r="E4" s="10">
        <v>24661</v>
      </c>
      <c r="F4" s="10">
        <v>27298</v>
      </c>
      <c r="G4" s="10">
        <v>26928</v>
      </c>
      <c r="H4" s="10">
        <v>29802</v>
      </c>
      <c r="I4" s="10">
        <v>30044</v>
      </c>
      <c r="J4" s="10">
        <v>32193</v>
      </c>
      <c r="K4" s="10">
        <v>40021</v>
      </c>
      <c r="L4" s="10">
        <v>45215</v>
      </c>
      <c r="M4" s="10">
        <v>44634</v>
      </c>
      <c r="N4" s="28">
        <v>48872</v>
      </c>
    </row>
    <row r="5" spans="1:14" hidden="1" outlineLevel="1" x14ac:dyDescent="0.25">
      <c r="A5" s="13" t="s">
        <v>85</v>
      </c>
      <c r="B5" s="21">
        <v>0.38329999999999997</v>
      </c>
      <c r="C5" s="21">
        <v>0.375</v>
      </c>
      <c r="D5" s="21">
        <v>0.38059999999999999</v>
      </c>
      <c r="E5" s="21">
        <v>0.34620000000000001</v>
      </c>
      <c r="F5" s="21">
        <v>0.37530000000000002</v>
      </c>
      <c r="G5" s="21">
        <v>0.3649</v>
      </c>
      <c r="H5" s="21">
        <v>0.3604</v>
      </c>
      <c r="I5" s="21">
        <v>0.35120000000000001</v>
      </c>
      <c r="J5" s="21">
        <v>0.40870000000000001</v>
      </c>
      <c r="K5" s="21">
        <v>0.43509999999999999</v>
      </c>
      <c r="L5" s="21">
        <v>0.40899999999999997</v>
      </c>
      <c r="M5" s="21">
        <v>0.38450000000000001</v>
      </c>
      <c r="N5" s="27"/>
    </row>
    <row r="6" spans="1:14" hidden="1" outlineLevel="1" x14ac:dyDescent="0.25">
      <c r="A6" s="13" t="s">
        <v>86</v>
      </c>
      <c r="B6" s="21">
        <v>5.67E-2</v>
      </c>
      <c r="C6" s="21">
        <v>5.7799999999999997E-2</v>
      </c>
      <c r="D6" s="21">
        <v>5.5199999999999999E-2</v>
      </c>
      <c r="E6" s="21">
        <v>5.4899999999999997E-2</v>
      </c>
      <c r="F6" s="21">
        <v>5.2999999999999999E-2</v>
      </c>
      <c r="G6" s="21">
        <v>5.4100000000000002E-2</v>
      </c>
      <c r="H6" s="21">
        <v>5.4199999999999998E-2</v>
      </c>
      <c r="I6" s="21">
        <v>5.4399999999999997E-2</v>
      </c>
      <c r="J6" s="21">
        <v>4.6399999999999997E-2</v>
      </c>
      <c r="K6" s="21">
        <v>4.58E-2</v>
      </c>
      <c r="L6" s="21">
        <v>5.0200000000000002E-2</v>
      </c>
      <c r="M6" s="21">
        <v>5.1299999999999998E-2</v>
      </c>
      <c r="N6" s="27"/>
    </row>
    <row r="7" spans="1:14" hidden="1" outlineLevel="1" x14ac:dyDescent="0.25">
      <c r="A7" s="13" t="s">
        <v>87</v>
      </c>
      <c r="B7" s="21">
        <v>6.7900000000000002E-2</v>
      </c>
      <c r="C7" s="21">
        <v>7.0900000000000005E-2</v>
      </c>
      <c r="D7" s="21">
        <v>7.1400000000000005E-2</v>
      </c>
      <c r="E7" s="21">
        <v>8.7800000000000003E-2</v>
      </c>
      <c r="F7" s="21">
        <v>8.4900000000000003E-2</v>
      </c>
      <c r="G7" s="21">
        <v>8.6599999999999996E-2</v>
      </c>
      <c r="H7" s="21">
        <v>8.6400000000000005E-2</v>
      </c>
      <c r="I7" s="21">
        <v>8.6999999999999994E-2</v>
      </c>
      <c r="J7" s="21">
        <v>9.06E-2</v>
      </c>
      <c r="K7" s="21">
        <v>8.0600000000000005E-2</v>
      </c>
      <c r="L7" s="21">
        <v>8.09E-2</v>
      </c>
      <c r="M7" s="21">
        <v>8.6599999999999996E-2</v>
      </c>
      <c r="N7" s="27"/>
    </row>
    <row r="8" spans="1:14" ht="15.75" hidden="1" outlineLevel="1" thickBot="1" x14ac:dyDescent="0.3">
      <c r="A8" s="13" t="s">
        <v>88</v>
      </c>
      <c r="B8" s="21">
        <v>0.13730000000000001</v>
      </c>
      <c r="C8" s="21">
        <v>0.1258</v>
      </c>
      <c r="D8" s="21">
        <v>0.12559999999999999</v>
      </c>
      <c r="E8" s="21">
        <v>0.14030000000000001</v>
      </c>
      <c r="F8" s="21">
        <v>0.12509999999999999</v>
      </c>
      <c r="G8" s="21">
        <v>0.1142</v>
      </c>
      <c r="H8" s="21">
        <v>0.11559999999999999</v>
      </c>
      <c r="I8" s="21">
        <v>0.1157</v>
      </c>
      <c r="J8" s="21">
        <v>0.10780000000000001</v>
      </c>
      <c r="K8" s="21">
        <v>9.8400000000000001E-2</v>
      </c>
      <c r="L8" s="21">
        <v>9.7500000000000003E-2</v>
      </c>
      <c r="M8" s="21">
        <v>0.1075</v>
      </c>
      <c r="N8" s="27"/>
    </row>
    <row r="9" spans="1:14" collapsed="1" x14ac:dyDescent="0.25">
      <c r="A9" s="7" t="s">
        <v>65</v>
      </c>
      <c r="B9" s="8">
        <v>11221</v>
      </c>
      <c r="C9" s="8">
        <v>13080</v>
      </c>
      <c r="D9" s="8">
        <v>14252</v>
      </c>
      <c r="E9" s="8">
        <v>14531</v>
      </c>
      <c r="F9" s="8">
        <v>15470</v>
      </c>
      <c r="G9" s="8">
        <v>16521</v>
      </c>
      <c r="H9" s="8">
        <v>18537</v>
      </c>
      <c r="I9" s="8">
        <v>19344</v>
      </c>
      <c r="J9" s="8">
        <v>17065</v>
      </c>
      <c r="K9" s="8">
        <v>20623</v>
      </c>
      <c r="L9" s="8">
        <v>25704</v>
      </c>
      <c r="M9" s="8">
        <v>26233</v>
      </c>
      <c r="N9" s="28">
        <v>26289</v>
      </c>
    </row>
    <row r="10" spans="1:14" ht="15.75" thickBot="1" x14ac:dyDescent="0.3">
      <c r="A10" s="5" t="s">
        <v>66</v>
      </c>
      <c r="B10" s="19">
        <v>0.35</v>
      </c>
      <c r="C10" s="19">
        <v>0.37</v>
      </c>
      <c r="D10" s="19">
        <v>0.37</v>
      </c>
      <c r="E10" s="19">
        <v>0.37</v>
      </c>
      <c r="F10" s="19">
        <v>0.36</v>
      </c>
      <c r="G10" s="19">
        <v>0.38</v>
      </c>
      <c r="H10" s="19">
        <v>0.38</v>
      </c>
      <c r="I10" s="19">
        <v>0.39</v>
      </c>
      <c r="J10" s="19">
        <v>0.35</v>
      </c>
      <c r="K10" s="19">
        <v>0.34</v>
      </c>
      <c r="L10" s="19">
        <v>0.36</v>
      </c>
      <c r="M10" s="19">
        <v>0.37</v>
      </c>
      <c r="N10" s="29">
        <v>0.35</v>
      </c>
    </row>
    <row r="11" spans="1:14" x14ac:dyDescent="0.25">
      <c r="A11" s="7" t="s">
        <v>67</v>
      </c>
      <c r="B11" s="11">
        <v>852</v>
      </c>
      <c r="C11" s="11">
        <v>966</v>
      </c>
      <c r="D11" s="8">
        <v>1229</v>
      </c>
      <c r="E11" s="8">
        <v>1483</v>
      </c>
      <c r="F11" s="8">
        <v>1759</v>
      </c>
      <c r="G11" s="8">
        <v>2240</v>
      </c>
      <c r="H11" s="8">
        <v>2080</v>
      </c>
      <c r="I11" s="8">
        <v>2417</v>
      </c>
      <c r="J11" s="8">
        <v>2577</v>
      </c>
      <c r="K11" s="8">
        <v>1910</v>
      </c>
      <c r="L11" s="8">
        <v>2098</v>
      </c>
      <c r="M11" s="8">
        <v>2804</v>
      </c>
      <c r="N11" s="28">
        <v>2875</v>
      </c>
    </row>
    <row r="12" spans="1:14" hidden="1" outlineLevel="1" x14ac:dyDescent="0.25">
      <c r="A12" s="12" t="s">
        <v>68</v>
      </c>
      <c r="B12" s="3">
        <v>242</v>
      </c>
      <c r="C12" s="3">
        <v>326</v>
      </c>
      <c r="D12" s="3">
        <v>313</v>
      </c>
      <c r="E12" s="3">
        <v>-56</v>
      </c>
      <c r="F12" s="3">
        <v>136</v>
      </c>
      <c r="G12" s="3">
        <v>405</v>
      </c>
      <c r="H12" s="3">
        <v>-96</v>
      </c>
      <c r="I12" s="3">
        <v>-189</v>
      </c>
      <c r="J12" s="3">
        <v>-56</v>
      </c>
      <c r="K12" s="3">
        <v>56</v>
      </c>
      <c r="L12" s="3">
        <v>68</v>
      </c>
      <c r="M12" s="3">
        <v>48</v>
      </c>
      <c r="N12" s="27"/>
    </row>
    <row r="13" spans="1:14" hidden="1" outlineLevel="1" x14ac:dyDescent="0.25">
      <c r="A13" s="12" t="s">
        <v>69</v>
      </c>
      <c r="B13" s="3">
        <v>610</v>
      </c>
      <c r="C13" s="3">
        <v>640</v>
      </c>
      <c r="D13" s="3">
        <v>916</v>
      </c>
      <c r="E13" s="4">
        <v>1539</v>
      </c>
      <c r="F13" s="4">
        <v>1623</v>
      </c>
      <c r="G13" s="4">
        <v>1835</v>
      </c>
      <c r="H13" s="4">
        <v>2176</v>
      </c>
      <c r="I13" s="4">
        <v>2606</v>
      </c>
      <c r="J13" s="4">
        <v>2633</v>
      </c>
      <c r="K13" s="4">
        <v>1854</v>
      </c>
      <c r="L13" s="4">
        <v>2030</v>
      </c>
      <c r="M13" s="4">
        <v>2755</v>
      </c>
      <c r="N13" s="27"/>
    </row>
    <row r="14" spans="1:14" collapsed="1" x14ac:dyDescent="0.25">
      <c r="A14" s="5" t="s">
        <v>70</v>
      </c>
      <c r="B14" s="14">
        <v>108</v>
      </c>
      <c r="C14" s="14">
        <v>29</v>
      </c>
      <c r="D14" s="14">
        <v>91</v>
      </c>
      <c r="E14" s="14">
        <v>78</v>
      </c>
      <c r="F14" s="14">
        <v>49</v>
      </c>
      <c r="G14" s="14">
        <v>115</v>
      </c>
      <c r="H14" s="14">
        <v>71</v>
      </c>
      <c r="I14" s="14">
        <v>81</v>
      </c>
      <c r="J14" s="14">
        <v>58</v>
      </c>
      <c r="K14" s="14">
        <v>60</v>
      </c>
      <c r="L14" s="14">
        <v>78</v>
      </c>
      <c r="M14" s="14">
        <v>80</v>
      </c>
      <c r="N14" s="27">
        <v>48</v>
      </c>
    </row>
    <row r="15" spans="1:14" ht="15.75" thickBot="1" x14ac:dyDescent="0.3">
      <c r="A15" s="2" t="s">
        <v>71</v>
      </c>
      <c r="B15" s="3">
        <v>859</v>
      </c>
      <c r="C15" s="3">
        <v>965</v>
      </c>
      <c r="D15" s="4">
        <v>1028</v>
      </c>
      <c r="E15" s="4">
        <v>1077</v>
      </c>
      <c r="F15" s="4">
        <v>1153</v>
      </c>
      <c r="G15" s="4">
        <v>1236</v>
      </c>
      <c r="H15" s="4">
        <v>1397</v>
      </c>
      <c r="I15" s="4">
        <v>1645</v>
      </c>
      <c r="J15" s="4">
        <v>1646</v>
      </c>
      <c r="K15" s="4">
        <v>1732</v>
      </c>
      <c r="L15" s="4">
        <v>1809</v>
      </c>
      <c r="M15" s="4">
        <v>1816</v>
      </c>
      <c r="N15" s="25">
        <v>1792</v>
      </c>
    </row>
    <row r="16" spans="1:14" x14ac:dyDescent="0.25">
      <c r="A16" s="9" t="s">
        <v>72</v>
      </c>
      <c r="B16" s="10">
        <v>11106</v>
      </c>
      <c r="C16" s="10">
        <v>13052</v>
      </c>
      <c r="D16" s="10">
        <v>14362</v>
      </c>
      <c r="E16" s="10">
        <v>14859</v>
      </c>
      <c r="F16" s="10">
        <v>16026</v>
      </c>
      <c r="G16" s="10">
        <v>17409</v>
      </c>
      <c r="H16" s="10">
        <v>19150</v>
      </c>
      <c r="I16" s="10">
        <v>20035</v>
      </c>
      <c r="J16" s="10">
        <v>17938</v>
      </c>
      <c r="K16" s="10">
        <v>20740</v>
      </c>
      <c r="L16" s="10">
        <v>25915</v>
      </c>
      <c r="M16" s="10">
        <v>27140</v>
      </c>
      <c r="N16" s="28">
        <v>27323</v>
      </c>
    </row>
    <row r="17" spans="1:14" ht="15.75" thickBot="1" x14ac:dyDescent="0.3">
      <c r="A17" s="2" t="s">
        <v>73</v>
      </c>
      <c r="B17" s="20">
        <v>0.31</v>
      </c>
      <c r="C17" s="20">
        <v>0.31</v>
      </c>
      <c r="D17" s="20">
        <v>0.32</v>
      </c>
      <c r="E17" s="20">
        <v>0.36</v>
      </c>
      <c r="F17" s="20">
        <v>0.35</v>
      </c>
      <c r="G17" s="20">
        <v>0.34</v>
      </c>
      <c r="H17" s="20">
        <v>0.33</v>
      </c>
      <c r="I17" s="20">
        <v>0.22</v>
      </c>
      <c r="J17" s="20">
        <v>0.25</v>
      </c>
      <c r="K17" s="20">
        <v>0.25</v>
      </c>
      <c r="L17" s="20">
        <v>0.25</v>
      </c>
      <c r="M17" s="20">
        <v>0.24</v>
      </c>
      <c r="N17" s="27"/>
    </row>
    <row r="18" spans="1:14" x14ac:dyDescent="0.25">
      <c r="A18" s="9" t="s">
        <v>74</v>
      </c>
      <c r="B18" s="10">
        <v>7704</v>
      </c>
      <c r="C18" s="10">
        <v>9001</v>
      </c>
      <c r="D18" s="10">
        <v>9779</v>
      </c>
      <c r="E18" s="10">
        <v>9501</v>
      </c>
      <c r="F18" s="10">
        <v>10477</v>
      </c>
      <c r="G18" s="10">
        <v>11493</v>
      </c>
      <c r="H18" s="10">
        <v>12836</v>
      </c>
      <c r="I18" s="10">
        <v>15593</v>
      </c>
      <c r="J18" s="10">
        <v>13383</v>
      </c>
      <c r="K18" s="10">
        <v>15503</v>
      </c>
      <c r="L18" s="10">
        <v>19477</v>
      </c>
      <c r="M18" s="10">
        <v>20751</v>
      </c>
      <c r="N18" s="28">
        <v>20435</v>
      </c>
    </row>
    <row r="19" spans="1:14" hidden="1" outlineLevel="1" x14ac:dyDescent="0.25">
      <c r="A19" s="13" t="s">
        <v>75</v>
      </c>
      <c r="B19" s="6">
        <v>7694</v>
      </c>
      <c r="C19" s="6">
        <v>8991</v>
      </c>
      <c r="D19" s="6">
        <v>9766</v>
      </c>
      <c r="E19" s="6">
        <v>9501</v>
      </c>
      <c r="F19" s="6">
        <v>10477</v>
      </c>
      <c r="G19" s="6">
        <v>11493</v>
      </c>
      <c r="H19" s="6">
        <v>12836</v>
      </c>
      <c r="I19" s="6">
        <v>15593</v>
      </c>
      <c r="J19" s="6">
        <v>13383</v>
      </c>
      <c r="K19" s="6">
        <v>15503</v>
      </c>
      <c r="L19" s="6">
        <v>19477</v>
      </c>
      <c r="M19" s="6">
        <v>20751</v>
      </c>
      <c r="N19" s="27"/>
    </row>
    <row r="20" spans="1:14" hidden="1" outlineLevel="1" x14ac:dyDescent="0.25">
      <c r="A20" s="13" t="s">
        <v>76</v>
      </c>
      <c r="B20" s="14">
        <v>11</v>
      </c>
      <c r="C20" s="14">
        <v>11</v>
      </c>
      <c r="D20" s="14">
        <v>13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27"/>
    </row>
    <row r="21" spans="1:14" hidden="1" outlineLevel="1" x14ac:dyDescent="0.25">
      <c r="A21" s="13" t="s">
        <v>77</v>
      </c>
      <c r="B21" s="6">
        <v>7704</v>
      </c>
      <c r="C21" s="6">
        <v>9001</v>
      </c>
      <c r="D21" s="6">
        <v>9779</v>
      </c>
      <c r="E21" s="6">
        <v>9501</v>
      </c>
      <c r="F21" s="6">
        <v>10477</v>
      </c>
      <c r="G21" s="6">
        <v>11493</v>
      </c>
      <c r="H21" s="6">
        <v>12836</v>
      </c>
      <c r="I21" s="6">
        <v>15593</v>
      </c>
      <c r="J21" s="6">
        <v>13383</v>
      </c>
      <c r="K21" s="6">
        <v>15503</v>
      </c>
      <c r="L21" s="6">
        <v>19477</v>
      </c>
      <c r="M21" s="6">
        <v>20751</v>
      </c>
      <c r="N21" s="27"/>
    </row>
    <row r="22" spans="1:14" hidden="1" outlineLevel="1" x14ac:dyDescent="0.25">
      <c r="A22" s="13" t="s">
        <v>78</v>
      </c>
      <c r="B22" s="14">
        <v>-96</v>
      </c>
      <c r="C22" s="14">
        <v>-110</v>
      </c>
      <c r="D22" s="14">
        <v>-115</v>
      </c>
      <c r="E22" s="14">
        <v>-156</v>
      </c>
      <c r="F22" s="14">
        <v>-188</v>
      </c>
      <c r="G22" s="14">
        <v>-221</v>
      </c>
      <c r="H22" s="14">
        <v>-244</v>
      </c>
      <c r="I22" s="14">
        <v>-287</v>
      </c>
      <c r="J22" s="14">
        <v>-222</v>
      </c>
      <c r="K22" s="14">
        <v>-260</v>
      </c>
      <c r="L22" s="14">
        <v>-285</v>
      </c>
      <c r="M22" s="14">
        <v>-293</v>
      </c>
      <c r="N22" s="27"/>
    </row>
    <row r="23" spans="1:14" hidden="1" outlineLevel="1" x14ac:dyDescent="0.25">
      <c r="A23" s="13" t="s">
        <v>79</v>
      </c>
      <c r="B23" s="6">
        <v>7608</v>
      </c>
      <c r="C23" s="6">
        <v>8891</v>
      </c>
      <c r="D23" s="6">
        <v>9663</v>
      </c>
      <c r="E23" s="6">
        <v>9344</v>
      </c>
      <c r="F23" s="6">
        <v>10289</v>
      </c>
      <c r="G23" s="6">
        <v>11271</v>
      </c>
      <c r="H23" s="6">
        <v>12592</v>
      </c>
      <c r="I23" s="6">
        <v>15306</v>
      </c>
      <c r="J23" s="6">
        <v>13161</v>
      </c>
      <c r="K23" s="6">
        <v>15243</v>
      </c>
      <c r="L23" s="6">
        <v>19192</v>
      </c>
      <c r="M23" s="6">
        <v>20459</v>
      </c>
      <c r="N23" s="27"/>
    </row>
    <row r="24" spans="1:14" hidden="1" outlineLevel="1" x14ac:dyDescent="0.25">
      <c r="A24" s="13" t="s">
        <v>80</v>
      </c>
      <c r="B24" s="14">
        <v>168</v>
      </c>
      <c r="C24" s="14">
        <v>222</v>
      </c>
      <c r="D24" s="14">
        <v>214</v>
      </c>
      <c r="E24" s="14">
        <v>-36</v>
      </c>
      <c r="F24" s="14">
        <v>89</v>
      </c>
      <c r="G24" s="14">
        <v>262</v>
      </c>
      <c r="H24" s="14">
        <v>-64</v>
      </c>
      <c r="I24" s="14">
        <v>-142</v>
      </c>
      <c r="J24" s="14">
        <v>-41</v>
      </c>
      <c r="K24" s="14">
        <v>42</v>
      </c>
      <c r="L24" s="14">
        <v>51</v>
      </c>
      <c r="M24" s="14">
        <v>37</v>
      </c>
      <c r="N24" s="27"/>
    </row>
    <row r="25" spans="1:14" hidden="1" outlineLevel="1" x14ac:dyDescent="0.25">
      <c r="A25" s="13" t="s">
        <v>81</v>
      </c>
      <c r="B25" s="6">
        <v>7442</v>
      </c>
      <c r="C25" s="6">
        <v>8672</v>
      </c>
      <c r="D25" s="6">
        <v>9452</v>
      </c>
      <c r="E25" s="6">
        <v>9380</v>
      </c>
      <c r="F25" s="6">
        <v>10203</v>
      </c>
      <c r="G25" s="6">
        <v>11014</v>
      </c>
      <c r="H25" s="6">
        <v>12655</v>
      </c>
      <c r="I25" s="6">
        <v>15446</v>
      </c>
      <c r="J25" s="6">
        <v>13202</v>
      </c>
      <c r="K25" s="6">
        <v>15202</v>
      </c>
      <c r="L25" s="6">
        <v>19141</v>
      </c>
      <c r="M25" s="6">
        <v>20422</v>
      </c>
      <c r="N25" s="27"/>
    </row>
    <row r="26" spans="1:14" collapsed="1" x14ac:dyDescent="0.25">
      <c r="A26" s="2" t="s">
        <v>82</v>
      </c>
      <c r="B26" s="3">
        <v>6.42</v>
      </c>
      <c r="C26" s="3">
        <v>7.45</v>
      </c>
      <c r="D26" s="3">
        <v>8.0399999999999991</v>
      </c>
      <c r="E26" s="3">
        <v>7.74</v>
      </c>
      <c r="F26" s="3">
        <v>8.4700000000000006</v>
      </c>
      <c r="G26" s="3">
        <v>9.24</v>
      </c>
      <c r="H26" s="3">
        <v>10.27</v>
      </c>
      <c r="I26" s="3">
        <v>12.45</v>
      </c>
      <c r="J26" s="3">
        <v>10.69</v>
      </c>
      <c r="K26" s="3">
        <v>12.37</v>
      </c>
      <c r="L26" s="3">
        <v>15.44</v>
      </c>
      <c r="M26" s="3">
        <v>16.39</v>
      </c>
      <c r="N26" s="27">
        <v>16.11</v>
      </c>
    </row>
    <row r="27" spans="1:14" x14ac:dyDescent="0.25">
      <c r="A27" s="5" t="s">
        <v>83</v>
      </c>
      <c r="B27" s="19">
        <v>0.55000000000000004</v>
      </c>
      <c r="C27" s="19">
        <v>0.54</v>
      </c>
      <c r="D27" s="19">
        <v>0.52</v>
      </c>
      <c r="E27" s="19">
        <v>0.73</v>
      </c>
      <c r="F27" s="19">
        <v>0.56000000000000005</v>
      </c>
      <c r="G27" s="19">
        <v>0.56000000000000005</v>
      </c>
      <c r="H27" s="19">
        <v>0.56000000000000005</v>
      </c>
      <c r="I27" s="19">
        <v>0.82</v>
      </c>
      <c r="J27" s="19">
        <v>1.01</v>
      </c>
      <c r="K27" s="19">
        <v>0.93</v>
      </c>
      <c r="L27" s="19">
        <v>1</v>
      </c>
      <c r="M27" s="19">
        <v>0.84</v>
      </c>
      <c r="N27" s="2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C7AF2-F5AD-4A9D-9AB3-CA4C988863AD}">
  <dimension ref="A1:P87"/>
  <sheetViews>
    <sheetView view="pageLayout" topLeftCell="A68" zoomScale="78" zoomScaleNormal="100" zoomScalePageLayoutView="78" workbookViewId="0">
      <selection activeCell="D2" sqref="D2:G3"/>
    </sheetView>
  </sheetViews>
  <sheetFormatPr defaultRowHeight="15" x14ac:dyDescent="0.25"/>
  <cols>
    <col min="1" max="1" width="24.85546875" bestFit="1" customWidth="1"/>
    <col min="2" max="2" width="10.85546875" bestFit="1" customWidth="1"/>
    <col min="3" max="6" width="10.5703125" bestFit="1" customWidth="1"/>
    <col min="7" max="7" width="10.5703125" customWidth="1"/>
    <col min="16" max="16" width="13.28515625" customWidth="1"/>
  </cols>
  <sheetData>
    <row r="1" spans="1:16" x14ac:dyDescent="0.25">
      <c r="A1" s="23"/>
      <c r="B1" s="23"/>
      <c r="C1" s="23"/>
      <c r="D1" s="23"/>
      <c r="E1" s="23"/>
      <c r="F1" s="23"/>
      <c r="G1" s="23"/>
    </row>
    <row r="2" spans="1:16" ht="36.75" customHeight="1" x14ac:dyDescent="0.25">
      <c r="A2" s="39" t="s">
        <v>102</v>
      </c>
      <c r="B2" s="40"/>
      <c r="C2" s="40"/>
      <c r="D2" s="41" t="e" vm="1">
        <v>#VALUE!</v>
      </c>
      <c r="E2" s="41"/>
      <c r="F2" s="41"/>
      <c r="G2" s="41"/>
      <c r="H2" s="34" t="s">
        <v>105</v>
      </c>
      <c r="I2" s="34"/>
      <c r="J2" s="34"/>
      <c r="K2" s="34"/>
      <c r="L2" s="34"/>
      <c r="M2" s="34"/>
      <c r="N2" s="34"/>
      <c r="O2" s="34"/>
      <c r="P2" s="34"/>
    </row>
    <row r="3" spans="1:16" x14ac:dyDescent="0.25">
      <c r="A3" s="40"/>
      <c r="B3" s="40"/>
      <c r="C3" s="40"/>
      <c r="D3" s="41"/>
      <c r="E3" s="41"/>
      <c r="F3" s="41"/>
      <c r="G3" s="41"/>
      <c r="H3" s="22"/>
      <c r="I3" s="22"/>
      <c r="J3" s="22"/>
      <c r="K3" s="22"/>
      <c r="L3" s="22"/>
      <c r="M3" s="22"/>
      <c r="N3" s="22"/>
      <c r="O3" s="22"/>
      <c r="P3" s="22"/>
    </row>
    <row r="4" spans="1:16" x14ac:dyDescent="0.25">
      <c r="A4" s="34" t="s">
        <v>104</v>
      </c>
      <c r="B4" s="42"/>
      <c r="C4" s="42"/>
      <c r="D4" s="42"/>
      <c r="E4" s="42"/>
      <c r="F4" s="42"/>
      <c r="G4" s="42"/>
      <c r="H4" s="22"/>
      <c r="I4" s="22"/>
      <c r="J4" s="22"/>
      <c r="K4" s="22"/>
      <c r="L4" s="22"/>
      <c r="M4" s="22"/>
      <c r="N4" s="22"/>
      <c r="O4" s="22"/>
      <c r="P4" s="22"/>
    </row>
    <row r="5" spans="1:16" x14ac:dyDescent="0.25">
      <c r="A5" s="42"/>
      <c r="B5" s="42"/>
      <c r="C5" s="42"/>
      <c r="D5" s="42"/>
      <c r="E5" s="42"/>
      <c r="F5" s="42"/>
      <c r="G5" s="42"/>
      <c r="H5" s="22"/>
      <c r="I5" s="22"/>
      <c r="J5" s="22"/>
      <c r="K5" s="22"/>
      <c r="L5" s="22"/>
      <c r="M5" s="22"/>
      <c r="N5" s="22"/>
      <c r="O5" s="22"/>
      <c r="P5" s="22"/>
    </row>
    <row r="6" spans="1:16" x14ac:dyDescent="0.25">
      <c r="H6" s="22"/>
      <c r="I6" s="22"/>
      <c r="J6" s="22"/>
      <c r="K6" s="22"/>
      <c r="L6" s="22"/>
      <c r="M6" s="22"/>
      <c r="N6" s="22"/>
      <c r="O6" s="22"/>
      <c r="P6" s="22"/>
    </row>
    <row r="7" spans="1:16" x14ac:dyDescent="0.25">
      <c r="H7" s="22"/>
      <c r="I7" s="22"/>
      <c r="J7" s="22"/>
      <c r="K7" s="22"/>
      <c r="L7" s="22"/>
      <c r="M7" s="22"/>
      <c r="N7" s="22"/>
      <c r="O7" s="22"/>
      <c r="P7" s="22"/>
    </row>
    <row r="8" spans="1:16" x14ac:dyDescent="0.25">
      <c r="H8" s="22"/>
      <c r="I8" s="22"/>
      <c r="J8" s="22"/>
      <c r="K8" s="22"/>
      <c r="L8" s="22"/>
      <c r="M8" s="22"/>
      <c r="N8" s="22"/>
      <c r="O8" s="22"/>
      <c r="P8" s="22"/>
    </row>
    <row r="30" spans="8:16" ht="18.75" x14ac:dyDescent="0.3">
      <c r="H30" s="35" t="s">
        <v>103</v>
      </c>
      <c r="I30" s="36"/>
      <c r="J30" s="36"/>
      <c r="K30" s="36"/>
      <c r="L30" s="36"/>
      <c r="M30" s="36"/>
      <c r="N30" s="36"/>
      <c r="O30" s="36"/>
      <c r="P30" s="36"/>
    </row>
    <row r="43" spans="1:16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</row>
    <row r="44" spans="1:16" ht="15.75" x14ac:dyDescent="0.25">
      <c r="A44" s="37" t="s">
        <v>90</v>
      </c>
      <c r="B44" s="38"/>
      <c r="C44" s="38"/>
      <c r="D44" s="38"/>
      <c r="E44" s="38"/>
      <c r="F44" s="38"/>
      <c r="G44" s="38"/>
    </row>
    <row r="45" spans="1:16" ht="15.75" thickBot="1" x14ac:dyDescent="0.3">
      <c r="B45" s="1">
        <v>43525</v>
      </c>
      <c r="C45" s="1">
        <v>43891</v>
      </c>
      <c r="D45" s="1">
        <v>44256</v>
      </c>
      <c r="E45" s="1">
        <v>44621</v>
      </c>
      <c r="F45" s="1">
        <v>44986</v>
      </c>
      <c r="G45" s="1">
        <v>45352</v>
      </c>
    </row>
    <row r="46" spans="1:16" x14ac:dyDescent="0.25">
      <c r="A46" t="s">
        <v>91</v>
      </c>
      <c r="B46" s="24">
        <f>'ITC Income Statement'!H18</f>
        <v>12836</v>
      </c>
      <c r="C46" s="24">
        <f>'ITC Income Statement'!I18</f>
        <v>15593</v>
      </c>
      <c r="D46" s="24">
        <f>'ITC Income Statement'!J18</f>
        <v>13383</v>
      </c>
      <c r="E46" s="24">
        <f>'ITC Income Statement'!K18</f>
        <v>15503</v>
      </c>
      <c r="F46" s="24">
        <f>'ITC Income Statement'!L18</f>
        <v>19477</v>
      </c>
      <c r="G46" s="24">
        <f>'ITC Income Statement'!M18</f>
        <v>20751</v>
      </c>
    </row>
    <row r="47" spans="1:16" x14ac:dyDescent="0.25">
      <c r="A47" t="s">
        <v>94</v>
      </c>
      <c r="B47" s="24">
        <f>(('ITC Balance Sheet'!H2+'ITC Balance Sheet'!H3)+('ITC Balance Sheet'!G2+'ITC Balance Sheet'!G3))/2</f>
        <v>55825.5</v>
      </c>
      <c r="C47" s="24">
        <f>(('ITC Balance Sheet'!I2+'ITC Balance Sheet'!I3)+('ITC Balance Sheet'!H2+'ITC Balance Sheet'!H3))/2</f>
        <v>62207</v>
      </c>
      <c r="D47" s="24">
        <f>(('ITC Balance Sheet'!J2+'ITC Balance Sheet'!J3)+('ITC Balance Sheet'!I2+'ITC Balance Sheet'!I3))/2</f>
        <v>62810</v>
      </c>
      <c r="E47" s="24">
        <f>(('ITC Balance Sheet'!K2+'ITC Balance Sheet'!K3)+('ITC Balance Sheet'!J2+'ITC Balance Sheet'!J3))/2</f>
        <v>61401</v>
      </c>
      <c r="F47" s="24">
        <f>(('ITC Balance Sheet'!L2+'ITC Balance Sheet'!L3)+('ITC Balance Sheet'!K2+'ITC Balance Sheet'!K3))/2</f>
        <v>65805</v>
      </c>
      <c r="G47" s="24">
        <f>(('ITC Balance Sheet'!M2+'ITC Balance Sheet'!M3)+('ITC Balance Sheet'!L2+'ITC Balance Sheet'!L3))/2</f>
        <v>71831</v>
      </c>
    </row>
    <row r="48" spans="1:16" x14ac:dyDescent="0.25">
      <c r="A48" s="30" t="s">
        <v>90</v>
      </c>
      <c r="B48" s="31">
        <f>B46/B47</f>
        <v>0.22993076640603308</v>
      </c>
      <c r="C48" s="31">
        <f t="shared" ref="C48:G48" si="0">C46/C47</f>
        <v>0.25066310865336699</v>
      </c>
      <c r="D48" s="31">
        <f t="shared" si="0"/>
        <v>0.21307116701162235</v>
      </c>
      <c r="E48" s="31">
        <f t="shared" si="0"/>
        <v>0.25248774449927525</v>
      </c>
      <c r="F48" s="31">
        <f t="shared" si="0"/>
        <v>0.29598054859053263</v>
      </c>
      <c r="G48" s="31">
        <f t="shared" si="0"/>
        <v>0.2888864139438404</v>
      </c>
    </row>
    <row r="50" spans="1:12" ht="15.75" x14ac:dyDescent="0.25">
      <c r="A50" s="37" t="s">
        <v>106</v>
      </c>
      <c r="B50" s="38"/>
      <c r="C50" s="38"/>
      <c r="D50" s="38"/>
      <c r="E50" s="38"/>
      <c r="F50" s="38"/>
      <c r="G50" s="38"/>
    </row>
    <row r="51" spans="1:12" ht="15.75" thickBot="1" x14ac:dyDescent="0.3">
      <c r="B51" s="1">
        <v>43525</v>
      </c>
      <c r="C51" s="1">
        <v>43891</v>
      </c>
      <c r="D51" s="1">
        <v>44256</v>
      </c>
      <c r="E51" s="1">
        <v>44621</v>
      </c>
      <c r="F51" s="1">
        <v>44986</v>
      </c>
      <c r="G51" s="1">
        <v>45352</v>
      </c>
      <c r="L51" s="32"/>
    </row>
    <row r="52" spans="1:12" x14ac:dyDescent="0.25">
      <c r="A52" t="s">
        <v>91</v>
      </c>
      <c r="B52" s="24">
        <v>12836</v>
      </c>
      <c r="C52" s="24">
        <v>15593</v>
      </c>
      <c r="D52" s="24">
        <v>13383</v>
      </c>
      <c r="E52" s="24">
        <v>15503</v>
      </c>
      <c r="F52" s="24">
        <v>19477</v>
      </c>
      <c r="G52" s="24">
        <v>20751</v>
      </c>
    </row>
    <row r="53" spans="1:12" x14ac:dyDescent="0.25">
      <c r="A53" t="s">
        <v>92</v>
      </c>
      <c r="B53" s="24">
        <f>'ITC Income Statement'!H2</f>
        <v>48340</v>
      </c>
      <c r="C53" s="24">
        <f>'ITC Income Statement'!I2</f>
        <v>49388</v>
      </c>
      <c r="D53" s="24">
        <f>'ITC Income Statement'!J2</f>
        <v>49257</v>
      </c>
      <c r="E53" s="24">
        <f>'ITC Income Statement'!K2</f>
        <v>60645</v>
      </c>
      <c r="F53" s="24">
        <f>'ITC Income Statement'!L2</f>
        <v>70919</v>
      </c>
      <c r="G53" s="24">
        <f>'ITC Income Statement'!M2</f>
        <v>70866</v>
      </c>
    </row>
    <row r="54" spans="1:12" x14ac:dyDescent="0.25">
      <c r="A54" s="30" t="s">
        <v>95</v>
      </c>
      <c r="B54" s="31">
        <f t="shared" ref="B54:F54" si="1">B52/B53</f>
        <v>0.26553578816714934</v>
      </c>
      <c r="C54" s="31">
        <f t="shared" si="1"/>
        <v>0.31572446748197941</v>
      </c>
      <c r="D54" s="31">
        <f t="shared" si="1"/>
        <v>0.27169742371642608</v>
      </c>
      <c r="E54" s="31">
        <f t="shared" si="1"/>
        <v>0.25563525434908074</v>
      </c>
      <c r="F54" s="31">
        <f t="shared" si="1"/>
        <v>0.27463726222873985</v>
      </c>
      <c r="G54" s="31">
        <f>G52/G53</f>
        <v>0.29282025230717129</v>
      </c>
    </row>
    <row r="56" spans="1:12" x14ac:dyDescent="0.25">
      <c r="A56" t="s">
        <v>92</v>
      </c>
      <c r="B56" s="24">
        <f>B53</f>
        <v>48340</v>
      </c>
      <c r="C56" s="24">
        <f t="shared" ref="C56:G56" si="2">C53</f>
        <v>49388</v>
      </c>
      <c r="D56" s="24">
        <f t="shared" si="2"/>
        <v>49257</v>
      </c>
      <c r="E56" s="24">
        <f t="shared" si="2"/>
        <v>60645</v>
      </c>
      <c r="F56" s="24">
        <f t="shared" si="2"/>
        <v>70919</v>
      </c>
      <c r="G56" s="24">
        <f t="shared" si="2"/>
        <v>70866</v>
      </c>
    </row>
    <row r="57" spans="1:12" x14ac:dyDescent="0.25">
      <c r="A57" t="s">
        <v>93</v>
      </c>
      <c r="B57" s="24">
        <f>('ITC Balance Sheet'!H35+'ITC Balance Sheet'!G35)/2</f>
        <v>67990</v>
      </c>
      <c r="C57" s="24">
        <f>('ITC Balance Sheet'!I35+'ITC Balance Sheet'!H35)/2</f>
        <v>74525</v>
      </c>
      <c r="D57" s="24">
        <f>('ITC Balance Sheet'!J35+'ITC Balance Sheet'!I35)/2</f>
        <v>75536</v>
      </c>
      <c r="E57" s="24">
        <f>('ITC Balance Sheet'!K35+'ITC Balance Sheet'!J35)/2</f>
        <v>75478.5</v>
      </c>
      <c r="F57" s="24">
        <f>('ITC Balance Sheet'!L35+'ITC Balance Sheet'!K35)/2</f>
        <v>81513.5</v>
      </c>
      <c r="G57" s="24">
        <f>('ITC Balance Sheet'!M35+'ITC Balance Sheet'!L35)/2</f>
        <v>88792.5</v>
      </c>
    </row>
    <row r="58" spans="1:12" x14ac:dyDescent="0.25">
      <c r="A58" s="30" t="s">
        <v>96</v>
      </c>
      <c r="B58" s="31">
        <f t="shared" ref="B58:F58" si="3">B56/B57</f>
        <v>0.71098690983968227</v>
      </c>
      <c r="C58" s="31">
        <f t="shared" si="3"/>
        <v>0.66270379067427043</v>
      </c>
      <c r="D58" s="31">
        <f t="shared" si="3"/>
        <v>0.65209966108875239</v>
      </c>
      <c r="E58" s="31">
        <f t="shared" si="3"/>
        <v>0.80347383692044749</v>
      </c>
      <c r="F58" s="31">
        <f t="shared" si="3"/>
        <v>0.8700276641292547</v>
      </c>
      <c r="G58" s="31">
        <f>G56/G57</f>
        <v>0.79810794830644483</v>
      </c>
    </row>
    <row r="60" spans="1:12" x14ac:dyDescent="0.25">
      <c r="A60" t="s">
        <v>93</v>
      </c>
      <c r="B60" s="24">
        <f>B57</f>
        <v>67990</v>
      </c>
      <c r="C60" s="24">
        <f t="shared" ref="C60:G60" si="4">C57</f>
        <v>74525</v>
      </c>
      <c r="D60" s="24">
        <f t="shared" si="4"/>
        <v>75536</v>
      </c>
      <c r="E60" s="24">
        <f t="shared" si="4"/>
        <v>75478.5</v>
      </c>
      <c r="F60" s="24">
        <f t="shared" si="4"/>
        <v>81513.5</v>
      </c>
      <c r="G60" s="24">
        <f t="shared" si="4"/>
        <v>88792.5</v>
      </c>
    </row>
    <row r="61" spans="1:12" x14ac:dyDescent="0.25">
      <c r="A61" t="s">
        <v>94</v>
      </c>
      <c r="B61" s="24">
        <f>B47</f>
        <v>55825.5</v>
      </c>
      <c r="C61" s="24">
        <f t="shared" ref="C61:G61" si="5">C47</f>
        <v>62207</v>
      </c>
      <c r="D61" s="24">
        <f t="shared" si="5"/>
        <v>62810</v>
      </c>
      <c r="E61" s="24">
        <f t="shared" si="5"/>
        <v>61401</v>
      </c>
      <c r="F61" s="24">
        <f t="shared" si="5"/>
        <v>65805</v>
      </c>
      <c r="G61" s="24">
        <f t="shared" si="5"/>
        <v>71831</v>
      </c>
    </row>
    <row r="62" spans="1:12" x14ac:dyDescent="0.25">
      <c r="A62" s="30" t="s">
        <v>97</v>
      </c>
      <c r="B62" s="31">
        <f t="shared" ref="B62" si="6">B60/B61</f>
        <v>1.217902213146322</v>
      </c>
      <c r="C62" s="31">
        <f t="shared" ref="C62" si="7">C60/C61</f>
        <v>1.1980163004163518</v>
      </c>
      <c r="D62" s="31">
        <f t="shared" ref="D62" si="8">D60/D61</f>
        <v>1.2026110491959878</v>
      </c>
      <c r="E62" s="31">
        <f t="shared" ref="E62" si="9">E60/E61</f>
        <v>1.2292715102359897</v>
      </c>
      <c r="F62" s="31">
        <f t="shared" ref="F62" si="10">F60/F61</f>
        <v>1.2387128637641516</v>
      </c>
      <c r="G62" s="31">
        <f>G60/G61</f>
        <v>1.2361306399743843</v>
      </c>
    </row>
    <row r="64" spans="1:12" x14ac:dyDescent="0.25">
      <c r="A64" s="30" t="s">
        <v>98</v>
      </c>
      <c r="B64" s="33">
        <f t="shared" ref="B64:G64" si="11">B62*B58*B54</f>
        <v>0.22993076640603305</v>
      </c>
      <c r="C64" s="33">
        <f t="shared" si="11"/>
        <v>0.25066310865336699</v>
      </c>
      <c r="D64" s="33">
        <f t="shared" si="11"/>
        <v>0.21307116701162232</v>
      </c>
      <c r="E64" s="33">
        <f t="shared" si="11"/>
        <v>0.25248774449927525</v>
      </c>
      <c r="F64" s="33">
        <f t="shared" si="11"/>
        <v>0.29598054859053263</v>
      </c>
      <c r="G64" s="33">
        <f t="shared" si="11"/>
        <v>0.2888864139438404</v>
      </c>
    </row>
    <row r="66" spans="1:7" ht="15.75" x14ac:dyDescent="0.25">
      <c r="A66" s="37" t="s">
        <v>99</v>
      </c>
      <c r="B66" s="38"/>
      <c r="C66" s="38"/>
      <c r="D66" s="38"/>
      <c r="E66" s="38"/>
      <c r="F66" s="38"/>
      <c r="G66" s="38"/>
    </row>
    <row r="67" spans="1:7" ht="15.75" thickBot="1" x14ac:dyDescent="0.3">
      <c r="B67" s="1">
        <v>43525</v>
      </c>
      <c r="C67" s="1">
        <v>43891</v>
      </c>
      <c r="D67" s="1">
        <v>44256</v>
      </c>
      <c r="E67" s="1">
        <v>44621</v>
      </c>
      <c r="F67" s="1">
        <v>44986</v>
      </c>
      <c r="G67" s="1">
        <v>45352</v>
      </c>
    </row>
    <row r="68" spans="1:7" x14ac:dyDescent="0.25">
      <c r="A68" t="s">
        <v>91</v>
      </c>
      <c r="B68" s="24">
        <f>B52</f>
        <v>12836</v>
      </c>
      <c r="C68" s="24">
        <f t="shared" ref="C68:G68" si="12">C52</f>
        <v>15593</v>
      </c>
      <c r="D68" s="24">
        <f t="shared" si="12"/>
        <v>13383</v>
      </c>
      <c r="E68" s="24">
        <f t="shared" si="12"/>
        <v>15503</v>
      </c>
      <c r="F68" s="24">
        <f t="shared" si="12"/>
        <v>19477</v>
      </c>
      <c r="G68" s="24">
        <f t="shared" si="12"/>
        <v>20751</v>
      </c>
    </row>
    <row r="69" spans="1:7" x14ac:dyDescent="0.25">
      <c r="A69" t="str">
        <f>A57</f>
        <v>Average Total Assets</v>
      </c>
      <c r="B69">
        <f t="shared" ref="B69:G69" si="13">B57</f>
        <v>67990</v>
      </c>
      <c r="C69">
        <f t="shared" si="13"/>
        <v>74525</v>
      </c>
      <c r="D69">
        <f t="shared" si="13"/>
        <v>75536</v>
      </c>
      <c r="E69">
        <f t="shared" si="13"/>
        <v>75478.5</v>
      </c>
      <c r="F69">
        <f t="shared" si="13"/>
        <v>81513.5</v>
      </c>
      <c r="G69">
        <f t="shared" si="13"/>
        <v>88792.5</v>
      </c>
    </row>
    <row r="70" spans="1:7" x14ac:dyDescent="0.25">
      <c r="A70" s="30" t="s">
        <v>100</v>
      </c>
      <c r="B70" s="31">
        <f>B68/B69</f>
        <v>0.188792469480806</v>
      </c>
      <c r="C70" s="31">
        <f t="shared" ref="C70" si="14">C68/C69</f>
        <v>0.20923180140892317</v>
      </c>
      <c r="D70" s="31">
        <f t="shared" ref="D70" si="15">D68/D69</f>
        <v>0.1771737979241686</v>
      </c>
      <c r="E70" s="31">
        <f t="shared" ref="E70" si="16">E68/E69</f>
        <v>0.2053962386639904</v>
      </c>
      <c r="F70" s="31">
        <f t="shared" ref="F70" si="17">F68/F69</f>
        <v>0.2389420157397241</v>
      </c>
      <c r="G70" s="31">
        <f t="shared" ref="G70" si="18">G68/G69</f>
        <v>0.23370217079145197</v>
      </c>
    </row>
    <row r="72" spans="1:7" ht="15.75" x14ac:dyDescent="0.25">
      <c r="A72" s="37" t="s">
        <v>107</v>
      </c>
      <c r="B72" s="38"/>
      <c r="C72" s="38"/>
      <c r="D72" s="38"/>
      <c r="E72" s="38"/>
      <c r="F72" s="38"/>
      <c r="G72" s="38"/>
    </row>
    <row r="73" spans="1:7" ht="15.75" thickBot="1" x14ac:dyDescent="0.3">
      <c r="B73" s="1">
        <v>43525</v>
      </c>
      <c r="C73" s="1">
        <v>43891</v>
      </c>
      <c r="D73" s="1">
        <v>44256</v>
      </c>
      <c r="E73" s="1">
        <v>44621</v>
      </c>
      <c r="F73" s="1">
        <v>44986</v>
      </c>
      <c r="G73" s="1">
        <v>45352</v>
      </c>
    </row>
    <row r="74" spans="1:7" x14ac:dyDescent="0.25">
      <c r="A74" t="s">
        <v>91</v>
      </c>
      <c r="B74" s="24">
        <f>B68</f>
        <v>12836</v>
      </c>
      <c r="C74" s="24">
        <f t="shared" ref="C74:G74" si="19">C68</f>
        <v>15593</v>
      </c>
      <c r="D74" s="24">
        <f t="shared" si="19"/>
        <v>13383</v>
      </c>
      <c r="E74" s="24">
        <f t="shared" si="19"/>
        <v>15503</v>
      </c>
      <c r="F74" s="24">
        <f t="shared" si="19"/>
        <v>19477</v>
      </c>
      <c r="G74" s="24">
        <f t="shared" si="19"/>
        <v>20751</v>
      </c>
    </row>
    <row r="75" spans="1:7" x14ac:dyDescent="0.25">
      <c r="A75" t="s">
        <v>92</v>
      </c>
      <c r="B75" s="24">
        <f>B56</f>
        <v>48340</v>
      </c>
      <c r="C75" s="24">
        <f t="shared" ref="C75:G75" si="20">C56</f>
        <v>49388</v>
      </c>
      <c r="D75" s="24">
        <f t="shared" si="20"/>
        <v>49257</v>
      </c>
      <c r="E75" s="24">
        <f t="shared" si="20"/>
        <v>60645</v>
      </c>
      <c r="F75" s="24">
        <f t="shared" si="20"/>
        <v>70919</v>
      </c>
      <c r="G75" s="24">
        <f t="shared" si="20"/>
        <v>70866</v>
      </c>
    </row>
    <row r="76" spans="1:7" x14ac:dyDescent="0.25">
      <c r="A76" s="30" t="s">
        <v>95</v>
      </c>
      <c r="B76" s="31">
        <f t="shared" ref="B76" si="21">B74/B75</f>
        <v>0.26553578816714934</v>
      </c>
      <c r="C76" s="31">
        <f t="shared" ref="C76" si="22">C74/C75</f>
        <v>0.31572446748197941</v>
      </c>
      <c r="D76" s="31">
        <f t="shared" ref="D76" si="23">D74/D75</f>
        <v>0.27169742371642608</v>
      </c>
      <c r="E76" s="31">
        <f t="shared" ref="E76" si="24">E74/E75</f>
        <v>0.25563525434908074</v>
      </c>
      <c r="F76" s="31">
        <f t="shared" ref="F76" si="25">F74/F75</f>
        <v>0.27463726222873985</v>
      </c>
      <c r="G76" s="31">
        <f>G74/G75</f>
        <v>0.29282025230717129</v>
      </c>
    </row>
    <row r="78" spans="1:7" x14ac:dyDescent="0.25">
      <c r="A78" t="s">
        <v>92</v>
      </c>
      <c r="B78" s="24">
        <f>B75</f>
        <v>48340</v>
      </c>
      <c r="C78" s="24">
        <f t="shared" ref="C78:G78" si="26">C75</f>
        <v>49388</v>
      </c>
      <c r="D78" s="24">
        <f t="shared" si="26"/>
        <v>49257</v>
      </c>
      <c r="E78" s="24">
        <f t="shared" si="26"/>
        <v>60645</v>
      </c>
      <c r="F78" s="24">
        <f t="shared" si="26"/>
        <v>70919</v>
      </c>
      <c r="G78" s="24">
        <f t="shared" si="26"/>
        <v>70866</v>
      </c>
    </row>
    <row r="79" spans="1:7" x14ac:dyDescent="0.25">
      <c r="A79" t="s">
        <v>93</v>
      </c>
      <c r="B79" s="24">
        <f>B69</f>
        <v>67990</v>
      </c>
      <c r="C79" s="24">
        <f t="shared" ref="C79:G79" si="27">C69</f>
        <v>74525</v>
      </c>
      <c r="D79" s="24">
        <f t="shared" si="27"/>
        <v>75536</v>
      </c>
      <c r="E79" s="24">
        <f t="shared" si="27"/>
        <v>75478.5</v>
      </c>
      <c r="F79" s="24">
        <f t="shared" si="27"/>
        <v>81513.5</v>
      </c>
      <c r="G79" s="24">
        <f t="shared" si="27"/>
        <v>88792.5</v>
      </c>
    </row>
    <row r="80" spans="1:7" x14ac:dyDescent="0.25">
      <c r="A80" s="30" t="s">
        <v>96</v>
      </c>
      <c r="B80" s="31">
        <f t="shared" ref="B80" si="28">B78/B79</f>
        <v>0.71098690983968227</v>
      </c>
      <c r="C80" s="31">
        <f t="shared" ref="C80" si="29">C78/C79</f>
        <v>0.66270379067427043</v>
      </c>
      <c r="D80" s="31">
        <f t="shared" ref="D80" si="30">D78/D79</f>
        <v>0.65209966108875239</v>
      </c>
      <c r="E80" s="31">
        <f t="shared" ref="E80" si="31">E78/E79</f>
        <v>0.80347383692044749</v>
      </c>
      <c r="F80" s="31">
        <f t="shared" ref="F80" si="32">F78/F79</f>
        <v>0.8700276641292547</v>
      </c>
      <c r="G80" s="31">
        <f>G78/G79</f>
        <v>0.79810794830644483</v>
      </c>
    </row>
    <row r="82" spans="1:7" x14ac:dyDescent="0.25">
      <c r="A82" s="30" t="s">
        <v>101</v>
      </c>
      <c r="B82" s="33">
        <f>B76*B80</f>
        <v>0.18879246948080597</v>
      </c>
      <c r="C82" s="33">
        <f t="shared" ref="C82:G82" si="33">C76*C80</f>
        <v>0.2092318014089232</v>
      </c>
      <c r="D82" s="33">
        <f t="shared" si="33"/>
        <v>0.1771737979241686</v>
      </c>
      <c r="E82" s="33">
        <f t="shared" si="33"/>
        <v>0.20539623866399043</v>
      </c>
      <c r="F82" s="33">
        <f t="shared" si="33"/>
        <v>0.23894201573972412</v>
      </c>
      <c r="G82" s="33">
        <f t="shared" si="33"/>
        <v>0.233702170791452</v>
      </c>
    </row>
    <row r="84" spans="1:7" x14ac:dyDescent="0.25">
      <c r="A84" s="22"/>
      <c r="B84" s="22"/>
      <c r="C84" s="22"/>
      <c r="D84" s="22"/>
      <c r="E84" s="22"/>
      <c r="F84" s="22"/>
      <c r="G84" s="22"/>
    </row>
    <row r="85" spans="1:7" x14ac:dyDescent="0.25">
      <c r="A85" s="22"/>
      <c r="B85" s="22"/>
      <c r="C85" s="22"/>
      <c r="D85" s="22"/>
      <c r="E85" s="22"/>
      <c r="F85" s="22"/>
      <c r="G85" s="22"/>
    </row>
    <row r="86" spans="1:7" x14ac:dyDescent="0.25">
      <c r="A86" s="22"/>
      <c r="B86" s="22"/>
      <c r="C86" s="22"/>
      <c r="D86" s="22"/>
      <c r="E86" s="22"/>
      <c r="F86" s="22"/>
      <c r="G86" s="22"/>
    </row>
    <row r="87" spans="1:7" x14ac:dyDescent="0.25">
      <c r="A87" s="43"/>
      <c r="B87" s="43"/>
      <c r="C87" s="43"/>
      <c r="D87" s="43"/>
      <c r="E87" s="43"/>
      <c r="F87" s="43"/>
      <c r="G87" s="43"/>
    </row>
  </sheetData>
  <mergeCells count="10">
    <mergeCell ref="A72:G72"/>
    <mergeCell ref="A2:C3"/>
    <mergeCell ref="D2:G3"/>
    <mergeCell ref="A4:G5"/>
    <mergeCell ref="A87:G87"/>
    <mergeCell ref="H2:P2"/>
    <mergeCell ref="H30:P30"/>
    <mergeCell ref="A44:G44"/>
    <mergeCell ref="A50:G50"/>
    <mergeCell ref="A66:G6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ITC Balance Sheet</vt:lpstr>
      <vt:lpstr>ITC Cash flow</vt:lpstr>
      <vt:lpstr>ITC Income Statement</vt:lpstr>
      <vt:lpstr>Duopont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abc</cp:lastModifiedBy>
  <cp:lastPrinted>2025-04-09T07:21:55Z</cp:lastPrinted>
  <dcterms:created xsi:type="dcterms:W3CDTF">2025-04-08T09:22:47Z</dcterms:created>
  <dcterms:modified xsi:type="dcterms:W3CDTF">2025-04-14T12:45:56Z</dcterms:modified>
</cp:coreProperties>
</file>